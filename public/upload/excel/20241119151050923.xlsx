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Sheet1!$A$1:$U$721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<sst xmlns="http://schemas.openxmlformats.org/spreadsheetml/2006/main" count="2525" uniqueCount="760">
  <si>
    <t>仓库sku</t>
  </si>
  <si>
    <t>主卖平台</t>
  </si>
  <si>
    <t>仓储费</t>
  </si>
  <si>
    <t>月末结存数量</t>
  </si>
  <si>
    <t>主件sku</t>
  </si>
  <si>
    <t>主件sku结存数量</t>
  </si>
  <si>
    <t>销量</t>
  </si>
  <si>
    <t>单价</t>
  </si>
  <si>
    <t>OFE007GR</t>
  </si>
  <si>
    <t>wayfair</t>
  </si>
  <si>
    <t>BBA001GR</t>
  </si>
  <si>
    <t>NFN066GR</t>
  </si>
  <si>
    <t>amazon</t>
  </si>
  <si>
    <t>BBB001BG</t>
  </si>
  <si>
    <t>OFC003GR-1</t>
  </si>
  <si>
    <t>BBB001GD</t>
  </si>
  <si>
    <t>OFC003GR-2</t>
  </si>
  <si>
    <t>BBB001GL</t>
  </si>
  <si>
    <t>NFE008WH</t>
  </si>
  <si>
    <t>BBB001GN</t>
  </si>
  <si>
    <t>NFN040NL</t>
  </si>
  <si>
    <t>BBB001PK</t>
  </si>
  <si>
    <t>BBG002GR</t>
  </si>
  <si>
    <t>BBB002CC</t>
  </si>
  <si>
    <t>NFN053WH</t>
  </si>
  <si>
    <t>BBB002GR</t>
  </si>
  <si>
    <t>NFN012WH-ROOF</t>
  </si>
  <si>
    <t>NFN012WH</t>
  </si>
  <si>
    <t>BBB002PK</t>
  </si>
  <si>
    <t>NFN018NL</t>
  </si>
  <si>
    <t>BBB003BU</t>
  </si>
  <si>
    <t>BBK021MZ</t>
  </si>
  <si>
    <t>BBB003GN</t>
  </si>
  <si>
    <t>NFN012-SLIDERAIL</t>
  </si>
  <si>
    <t>NFN012BK</t>
  </si>
  <si>
    <t>BBB003GR</t>
  </si>
  <si>
    <t>OFE007WG</t>
  </si>
  <si>
    <t>BBB004BK</t>
  </si>
  <si>
    <t>OFE007WH</t>
  </si>
  <si>
    <t>BBB004GN</t>
  </si>
  <si>
    <t>NFN005NL</t>
  </si>
  <si>
    <t>BBB004GR</t>
  </si>
  <si>
    <t>NFK007DC</t>
  </si>
  <si>
    <t>BBB004PK</t>
  </si>
  <si>
    <t>NFN067GR</t>
  </si>
  <si>
    <t>BBC001GR</t>
  </si>
  <si>
    <t>NFN012BK-ROOF</t>
  </si>
  <si>
    <t>BBC001NB</t>
  </si>
  <si>
    <t>NFN041NL</t>
  </si>
  <si>
    <t>BBC002BU</t>
  </si>
  <si>
    <t>NFN019NL</t>
  </si>
  <si>
    <t>BBC002CG</t>
  </si>
  <si>
    <t>OFE009BN</t>
  </si>
  <si>
    <t>BBC002GR</t>
  </si>
  <si>
    <t>BBH003OR-MUSICDISC</t>
  </si>
  <si>
    <t>BBH003OR</t>
  </si>
  <si>
    <t>BBC002NB</t>
  </si>
  <si>
    <t>NFN006WH</t>
  </si>
  <si>
    <t>BBC002TG</t>
  </si>
  <si>
    <t>NFF004WH</t>
  </si>
  <si>
    <t>BBC003BY</t>
  </si>
  <si>
    <t>NFK008DC-ACCESSORY</t>
  </si>
  <si>
    <t>NFK008DC</t>
  </si>
  <si>
    <t>BBC003DG</t>
  </si>
  <si>
    <t>OFE005GR</t>
  </si>
  <si>
    <t>BBC003GR</t>
  </si>
  <si>
    <t>NFE004WH-MIRROR</t>
  </si>
  <si>
    <t>NFE004WH</t>
  </si>
  <si>
    <t>BBC003LG</t>
  </si>
  <si>
    <t>NFN091BK</t>
  </si>
  <si>
    <t>BBC004BU</t>
  </si>
  <si>
    <t>OFE005BU</t>
  </si>
  <si>
    <t>BBC004BY</t>
  </si>
  <si>
    <t>NFN101GR</t>
  </si>
  <si>
    <t>BBC004GR</t>
  </si>
  <si>
    <t>BBK032MZ</t>
  </si>
  <si>
    <t>BBC005BU</t>
  </si>
  <si>
    <t>OFE005WH</t>
  </si>
  <si>
    <t>BBC005GR</t>
  </si>
  <si>
    <t>NFN063YB-1</t>
  </si>
  <si>
    <t>BBC006GR</t>
  </si>
  <si>
    <t>NFN063YB-2</t>
  </si>
  <si>
    <t>BBC008GR</t>
  </si>
  <si>
    <t>NFN055WH</t>
  </si>
  <si>
    <t>BBC010GR</t>
  </si>
  <si>
    <t>NFN101BK</t>
  </si>
  <si>
    <t>BBC011GR</t>
  </si>
  <si>
    <t>NFK001GR-LEG</t>
  </si>
  <si>
    <t>NFK001GR</t>
  </si>
  <si>
    <t>BBF001GR</t>
  </si>
  <si>
    <t>NFN007WH</t>
  </si>
  <si>
    <t>BBF002GR</t>
  </si>
  <si>
    <t>PTB029SL</t>
  </si>
  <si>
    <t>TLH009NL</t>
  </si>
  <si>
    <t>BBH003BU</t>
  </si>
  <si>
    <t>NFN101WH</t>
  </si>
  <si>
    <t>BBH003GR</t>
  </si>
  <si>
    <t>NFN114WH</t>
  </si>
  <si>
    <t>NFJ003-ACCESSARY1</t>
  </si>
  <si>
    <t>NFJ003BG</t>
  </si>
  <si>
    <t>BBH003RE</t>
  </si>
  <si>
    <t>BBK001WH</t>
  </si>
  <si>
    <t>NFP020BK</t>
  </si>
  <si>
    <t>BBK002MZ</t>
  </si>
  <si>
    <t>NFN008GR</t>
  </si>
  <si>
    <t>BBK003MZ</t>
  </si>
  <si>
    <t>NFN016WH-ACCESSORY</t>
  </si>
  <si>
    <t>NFN016WH</t>
  </si>
  <si>
    <t>BBK010MZ</t>
  </si>
  <si>
    <t>NFN014BK-ROOF</t>
  </si>
  <si>
    <t>NFN014BK</t>
  </si>
  <si>
    <t>BBK011MZ</t>
  </si>
  <si>
    <t>BBH003GR-WHEEL</t>
  </si>
  <si>
    <t>BBK014MZ</t>
  </si>
  <si>
    <t>NFN022NL-ACCESSORY</t>
  </si>
  <si>
    <t>NFN022NL</t>
  </si>
  <si>
    <t>BBK015MZ</t>
  </si>
  <si>
    <t>ELQ003BK</t>
  </si>
  <si>
    <t>BBK016MZ</t>
  </si>
  <si>
    <t>BBK017MZ</t>
  </si>
  <si>
    <t>OFE006WH-2</t>
  </si>
  <si>
    <t>BBK019WH</t>
  </si>
  <si>
    <t>OFE006WH-1</t>
  </si>
  <si>
    <t>NFN057NL</t>
  </si>
  <si>
    <t>BBK023MZ</t>
  </si>
  <si>
    <t>NFN087WH-2</t>
  </si>
  <si>
    <t>BBK024MZ</t>
  </si>
  <si>
    <t>NFN087WH-1</t>
  </si>
  <si>
    <t>BBK026MZ-1</t>
  </si>
  <si>
    <t>NFK014WH</t>
  </si>
  <si>
    <t>BBK026MZ-2</t>
  </si>
  <si>
    <t>NFK001ES</t>
  </si>
  <si>
    <t>BBK027MZ</t>
  </si>
  <si>
    <t>BBK028MZ-1</t>
  </si>
  <si>
    <t>BBK028MZ-2</t>
  </si>
  <si>
    <t>BBK029MZ</t>
  </si>
  <si>
    <t>NFK014ES</t>
  </si>
  <si>
    <t>BBK029WH</t>
  </si>
  <si>
    <t>NFK007DC-ACCESSORY</t>
  </si>
  <si>
    <t>BBK030MZ</t>
  </si>
  <si>
    <t>NFJ008BG</t>
  </si>
  <si>
    <t>BBK030WH</t>
  </si>
  <si>
    <t>BBK031MZ</t>
  </si>
  <si>
    <t>NFN009WH</t>
  </si>
  <si>
    <t>BBK033MZ</t>
  </si>
  <si>
    <t>NFN032NL</t>
  </si>
  <si>
    <t>BBK034NL</t>
  </si>
  <si>
    <t>BBK035MZ</t>
  </si>
  <si>
    <t>OFE004BU</t>
  </si>
  <si>
    <t>BBK037MZ</t>
  </si>
  <si>
    <t>OFE004GR</t>
  </si>
  <si>
    <t>BBK038MZ</t>
  </si>
  <si>
    <t>NFK002WH</t>
  </si>
  <si>
    <t>BBK039MZ</t>
  </si>
  <si>
    <t>NFA004GB</t>
  </si>
  <si>
    <t>BBK040BN</t>
  </si>
  <si>
    <t>NFN058WH</t>
  </si>
  <si>
    <t>BBK040WH</t>
  </si>
  <si>
    <t>PTB019SL</t>
  </si>
  <si>
    <t>BPK001SL</t>
  </si>
  <si>
    <t>OFE004WH</t>
  </si>
  <si>
    <t>BPK002SL</t>
  </si>
  <si>
    <t>NFN104WH</t>
  </si>
  <si>
    <t>ELQ002BK</t>
  </si>
  <si>
    <t>NFK002ES</t>
  </si>
  <si>
    <t>NFN020BK</t>
  </si>
  <si>
    <t>NFA002GR</t>
  </si>
  <si>
    <t>BBH003BU-WHEEL</t>
  </si>
  <si>
    <t>NFA002WH</t>
  </si>
  <si>
    <t>NFE005WH</t>
  </si>
  <si>
    <t>NFA003GR-1</t>
  </si>
  <si>
    <t>NFA003GR-2</t>
  </si>
  <si>
    <t>NFN033NL</t>
  </si>
  <si>
    <t>NFP012GR</t>
  </si>
  <si>
    <t>NFA004WH</t>
  </si>
  <si>
    <t>NFD004GR</t>
  </si>
  <si>
    <t>NFN095BN</t>
  </si>
  <si>
    <t>NFD004NL</t>
  </si>
  <si>
    <t>NFN037GR-USBPORT</t>
  </si>
  <si>
    <t>NFN037GR</t>
  </si>
  <si>
    <t>NFD004WH</t>
  </si>
  <si>
    <t>NFE005WH-MIRROR</t>
  </si>
  <si>
    <t>NFD006GR</t>
  </si>
  <si>
    <t>NFD006NL</t>
  </si>
  <si>
    <t>NFK007WH-ACCESSORY</t>
  </si>
  <si>
    <t>NFK007WH</t>
  </si>
  <si>
    <t>NFD006WH</t>
  </si>
  <si>
    <t>NFD008BK</t>
  </si>
  <si>
    <t>NFN020WH</t>
  </si>
  <si>
    <t>NFD008BK-RETURN</t>
  </si>
  <si>
    <t>PTB007WH</t>
  </si>
  <si>
    <t>NFD008GR</t>
  </si>
  <si>
    <t>NFD008WB</t>
  </si>
  <si>
    <t>NFD008WB-RETURN</t>
  </si>
  <si>
    <t>NFD009BK</t>
  </si>
  <si>
    <t>NFD009GD</t>
  </si>
  <si>
    <t>NFD010GR</t>
  </si>
  <si>
    <t>NFD010NL</t>
  </si>
  <si>
    <t>NFD010WH</t>
  </si>
  <si>
    <t>NFK013WH</t>
  </si>
  <si>
    <t>NFE001BN</t>
  </si>
  <si>
    <t>OFE015GR</t>
  </si>
  <si>
    <t>NFE001WH</t>
  </si>
  <si>
    <t>BBH003RE-WHEEL</t>
  </si>
  <si>
    <t>NFE002WH</t>
  </si>
  <si>
    <t>PTB030SL</t>
  </si>
  <si>
    <t>NFE002WH-LAMPBULB</t>
  </si>
  <si>
    <t>NFE007WH</t>
  </si>
  <si>
    <t>NFK013ES</t>
  </si>
  <si>
    <t>NFF003WH</t>
  </si>
  <si>
    <t>BBH003GR-MUSICDISC</t>
  </si>
  <si>
    <t>NFG001BK</t>
  </si>
  <si>
    <t>NFG001BN</t>
  </si>
  <si>
    <t>NFJ002GR</t>
  </si>
  <si>
    <t>NFJ003BK</t>
  </si>
  <si>
    <t>NFJ003RE</t>
  </si>
  <si>
    <t>NFJ003RE-RETURN</t>
  </si>
  <si>
    <t>BBH003BU-MUSICDISC</t>
  </si>
  <si>
    <t>NFJ005BG</t>
  </si>
  <si>
    <t>NFN049GR</t>
  </si>
  <si>
    <t>NFJ006GR</t>
  </si>
  <si>
    <t>BBH003OR-WHEEL</t>
  </si>
  <si>
    <t>TLH010NL</t>
  </si>
  <si>
    <t>NFJ008BK</t>
  </si>
  <si>
    <t>NFJ009OR</t>
  </si>
  <si>
    <t>OFE012GD</t>
  </si>
  <si>
    <t>NFJ010BK</t>
  </si>
  <si>
    <t>NFP015GR</t>
  </si>
  <si>
    <t>NFJ011MZ</t>
  </si>
  <si>
    <t>NFN107WH</t>
  </si>
  <si>
    <t>NFE005WH-ACCESSORY</t>
  </si>
  <si>
    <t>NFN036GR</t>
  </si>
  <si>
    <t>NFK001WH</t>
  </si>
  <si>
    <t>NFK001WH-RETURN</t>
  </si>
  <si>
    <t>NFN098BK</t>
  </si>
  <si>
    <t>NFK002GR</t>
  </si>
  <si>
    <t>NFN108BG</t>
  </si>
  <si>
    <t>NFK002WH-RETURN</t>
  </si>
  <si>
    <t>NFK005WH</t>
  </si>
  <si>
    <t>NFK006WH</t>
  </si>
  <si>
    <t>OFE013GD</t>
  </si>
  <si>
    <t>NFP014BG</t>
  </si>
  <si>
    <t>NFK008WH</t>
  </si>
  <si>
    <t>NFP014BU</t>
  </si>
  <si>
    <t>NFK009BG</t>
  </si>
  <si>
    <t>NFP001BN</t>
  </si>
  <si>
    <t>NFK010GR</t>
  </si>
  <si>
    <t>NFE008WH-ACCESSORY</t>
  </si>
  <si>
    <t>NFK012GR</t>
  </si>
  <si>
    <t>NFP003GR</t>
  </si>
  <si>
    <t>PTB020SL</t>
  </si>
  <si>
    <t>NFE004WH-PART-23</t>
  </si>
  <si>
    <t>NFN029WH-USBPORT</t>
  </si>
  <si>
    <t>NFN029WH</t>
  </si>
  <si>
    <t>NFK015BG</t>
  </si>
  <si>
    <t>NFN012BU</t>
  </si>
  <si>
    <t>NFK015GR</t>
  </si>
  <si>
    <t>NFK016BG</t>
  </si>
  <si>
    <t>OFF007BK</t>
  </si>
  <si>
    <t>NFK016GR</t>
  </si>
  <si>
    <t>NFN109WH</t>
  </si>
  <si>
    <t>NFM002BN</t>
  </si>
  <si>
    <t>NFN002NL</t>
  </si>
  <si>
    <t>NFN003NL</t>
  </si>
  <si>
    <t>OFC004GR-2</t>
  </si>
  <si>
    <t>OFC004GR-1</t>
  </si>
  <si>
    <t>OFC004GR-3</t>
  </si>
  <si>
    <t>NFN008BN</t>
  </si>
  <si>
    <t>NFN012GR</t>
  </si>
  <si>
    <t>OFE010BN</t>
  </si>
  <si>
    <t>BBH003RE-MUSICDISC</t>
  </si>
  <si>
    <t>BBH003-CUSHION</t>
  </si>
  <si>
    <t>OFE006BU-2</t>
  </si>
  <si>
    <t>OFE006BU-1</t>
  </si>
  <si>
    <t>NFN013BK</t>
  </si>
  <si>
    <t>PTB021SL</t>
  </si>
  <si>
    <t>NFN013GB</t>
  </si>
  <si>
    <t>NFP015WH</t>
  </si>
  <si>
    <t>NFN013WH</t>
  </si>
  <si>
    <t>NFN014BU</t>
  </si>
  <si>
    <t>NFN014GR</t>
  </si>
  <si>
    <t>OFE011GD</t>
  </si>
  <si>
    <t>NFN014WH</t>
  </si>
  <si>
    <t>NFP016GR</t>
  </si>
  <si>
    <t>NFN015BK</t>
  </si>
  <si>
    <t>NFN015GB</t>
  </si>
  <si>
    <t>NFN061WH</t>
  </si>
  <si>
    <t>NFN015WH</t>
  </si>
  <si>
    <t>NFK008WH-ACCESSORY</t>
  </si>
  <si>
    <t>TLH013NL</t>
  </si>
  <si>
    <t>NFN017NL</t>
  </si>
  <si>
    <t>NFN039NL</t>
  </si>
  <si>
    <t>NFN088GR</t>
  </si>
  <si>
    <t>OFE006GR-1</t>
  </si>
  <si>
    <t>OFE006GR-2</t>
  </si>
  <si>
    <t>NFN023NL</t>
  </si>
  <si>
    <t>NFN024NL</t>
  </si>
  <si>
    <t>NFN025WH</t>
  </si>
  <si>
    <t>NFN026NL</t>
  </si>
  <si>
    <t>NFN027NL</t>
  </si>
  <si>
    <t>TLH001NL</t>
  </si>
  <si>
    <t>NFN028NL</t>
  </si>
  <si>
    <t>NFN088WH</t>
  </si>
  <si>
    <t>NFN043NL</t>
  </si>
  <si>
    <t>TLH014NL</t>
  </si>
  <si>
    <t>NFN045BN</t>
  </si>
  <si>
    <t>NFN076GB</t>
  </si>
  <si>
    <t>NFN051GB</t>
  </si>
  <si>
    <t>NFN076GR</t>
  </si>
  <si>
    <t>NFN051NL</t>
  </si>
  <si>
    <t>NFN054WH</t>
  </si>
  <si>
    <t>NFN056NL</t>
  </si>
  <si>
    <t>NFN056NL-ACCESSORY</t>
  </si>
  <si>
    <t>NFN058GR</t>
  </si>
  <si>
    <t>NFP018BK</t>
  </si>
  <si>
    <t>NFN061BK</t>
  </si>
  <si>
    <t>NFN089WH</t>
  </si>
  <si>
    <t>NFN062BK</t>
  </si>
  <si>
    <t>TLH015NL</t>
  </si>
  <si>
    <t>NFN062WH</t>
  </si>
  <si>
    <t>NFN063WT-1</t>
  </si>
  <si>
    <t>TLH002NL</t>
  </si>
  <si>
    <t>NFN063WT-2</t>
  </si>
  <si>
    <t>NFA002GR-PART-5</t>
  </si>
  <si>
    <t>NFA002GR-PART-6</t>
  </si>
  <si>
    <t>NFN064NL</t>
  </si>
  <si>
    <t>NFS002BN</t>
  </si>
  <si>
    <t>NFE004WH-ACCESSORY</t>
  </si>
  <si>
    <t>NFN069BK</t>
  </si>
  <si>
    <t>NFN069WH</t>
  </si>
  <si>
    <t>NFN078BK</t>
  </si>
  <si>
    <t>NFE004WH-LAMPBULB</t>
  </si>
  <si>
    <t>NFK003WH-LEG</t>
  </si>
  <si>
    <t>NFQ001WH</t>
  </si>
  <si>
    <t>NFN091WH</t>
  </si>
  <si>
    <t>QTM001SL</t>
  </si>
  <si>
    <t>NFN092GR</t>
  </si>
  <si>
    <t>TLH016NL</t>
  </si>
  <si>
    <t>NFN095BN-RETURN</t>
  </si>
  <si>
    <t>NFN004BK</t>
  </si>
  <si>
    <t>NFN095WH</t>
  </si>
  <si>
    <t>NFN097BN</t>
  </si>
  <si>
    <t>NFN099BK</t>
  </si>
  <si>
    <t>NFN099WH</t>
  </si>
  <si>
    <t>TLH017NL</t>
  </si>
  <si>
    <t>NFN102WH</t>
  </si>
  <si>
    <t>NFK010BG</t>
  </si>
  <si>
    <t>NFN110WH</t>
  </si>
  <si>
    <t>NFN111WH</t>
  </si>
  <si>
    <t>PTB001SL</t>
  </si>
  <si>
    <t>NFN113BK</t>
  </si>
  <si>
    <t>NFN113WH</t>
  </si>
  <si>
    <t>OFE008BN</t>
  </si>
  <si>
    <t>NFN057NL-PART-14</t>
  </si>
  <si>
    <t>NFN117WH</t>
  </si>
  <si>
    <t>NFN057NL-PART-15</t>
  </si>
  <si>
    <t>NFN118BN</t>
  </si>
  <si>
    <t>TLH011NL</t>
  </si>
  <si>
    <t>NFN118WH</t>
  </si>
  <si>
    <t>NFK011GR</t>
  </si>
  <si>
    <t>NFN119WH</t>
  </si>
  <si>
    <t>NFN120BN</t>
  </si>
  <si>
    <t>NFK011BG</t>
  </si>
  <si>
    <t>NFN120GR</t>
  </si>
  <si>
    <t>NFN122BN</t>
  </si>
  <si>
    <t>PTB035SL-2</t>
  </si>
  <si>
    <t>PTB035SL-1</t>
  </si>
  <si>
    <t>OFE004-WATERPROOF</t>
  </si>
  <si>
    <t>NFP003GR-RETURN</t>
  </si>
  <si>
    <t>NFP010GR</t>
  </si>
  <si>
    <t>NFP021BK</t>
  </si>
  <si>
    <t>NFP010GR-RETURN</t>
  </si>
  <si>
    <t>NFP012GR-RETURN</t>
  </si>
  <si>
    <t>NFP013BK</t>
  </si>
  <si>
    <t>NFE004WH-PLATE</t>
  </si>
  <si>
    <t>NFP014BG-RETURN</t>
  </si>
  <si>
    <t>PTB034SL</t>
  </si>
  <si>
    <t>NFP014BU-RETURN</t>
  </si>
  <si>
    <t>PTB003SL</t>
  </si>
  <si>
    <t>NFP016WH</t>
  </si>
  <si>
    <t>OFE006-WATERPROOF</t>
  </si>
  <si>
    <t>OFC001GR-1</t>
  </si>
  <si>
    <t>OFL001PU</t>
  </si>
  <si>
    <t>OFC001GR-2</t>
  </si>
  <si>
    <t>PTB010SL</t>
  </si>
  <si>
    <t>OFC001GR-3</t>
  </si>
  <si>
    <t>OFC002GR-1</t>
  </si>
  <si>
    <t>OFL001WH</t>
  </si>
  <si>
    <t>OFC002GR-2</t>
  </si>
  <si>
    <t>OFC002GR-3</t>
  </si>
  <si>
    <t>OFC002GR-4</t>
  </si>
  <si>
    <t>OFK002WG</t>
  </si>
  <si>
    <t>NFK012BG</t>
  </si>
  <si>
    <t>NFA002GR-SAV</t>
  </si>
  <si>
    <t>NFK009GR</t>
  </si>
  <si>
    <t>OFL004PU</t>
  </si>
  <si>
    <t>OFE008-ACCESSORY</t>
  </si>
  <si>
    <t>NFN088WH-ACCESSORY</t>
  </si>
  <si>
    <t>NFG001-ACCESSORY</t>
  </si>
  <si>
    <t>PTB030SL-BU</t>
  </si>
  <si>
    <t>BBC007GR</t>
  </si>
  <si>
    <t>OFF001BW</t>
  </si>
  <si>
    <t>NFN065-ACCESSORY</t>
  </si>
  <si>
    <t>NFN065WH</t>
  </si>
  <si>
    <t>NFN014WH-ROOF</t>
  </si>
  <si>
    <t>NFN028NL-ACCESSORY</t>
  </si>
  <si>
    <t>BBA001GR-ACCESSORY-9</t>
  </si>
  <si>
    <t>OFL005PK</t>
  </si>
  <si>
    <t>NFA004-ACCESSORY</t>
  </si>
  <si>
    <t>OFL005PK-RETURN</t>
  </si>
  <si>
    <t>OFE005WH-FULLACCESSORY</t>
  </si>
  <si>
    <t>OFL006BU</t>
  </si>
  <si>
    <t>NFN015-ACCESSORY</t>
  </si>
  <si>
    <t>NFP018BK-ACCESSORY</t>
  </si>
  <si>
    <t>PTB002WH-RETURN</t>
  </si>
  <si>
    <t>NFN014BU-ROOF</t>
  </si>
  <si>
    <t>PTB005GR</t>
  </si>
  <si>
    <t>PTB008SL</t>
  </si>
  <si>
    <t>OFE004-ACCESSORY</t>
  </si>
  <si>
    <t>PTB009SL</t>
  </si>
  <si>
    <t>NFN091-GLASS</t>
  </si>
  <si>
    <t>NFN091-ACCESSORY</t>
  </si>
  <si>
    <t>NFN092-ACCESSORY</t>
  </si>
  <si>
    <t>PTB024SL</t>
  </si>
  <si>
    <t>NFN006WH-ACCESSORY</t>
  </si>
  <si>
    <t>PTB025SL</t>
  </si>
  <si>
    <t>BBA001GR-ACCESSORY-10</t>
  </si>
  <si>
    <t>PTB026SL</t>
  </si>
  <si>
    <t>NFN087-ACCESSORY</t>
  </si>
  <si>
    <t>NFN016NL-SLIDERAIL</t>
  </si>
  <si>
    <t>OFE005GR-FULLACCESSORY</t>
  </si>
  <si>
    <t>NFJ010BK-LIGHTBAR</t>
  </si>
  <si>
    <t>NFN091-PART-G</t>
  </si>
  <si>
    <t>PTB036WH</t>
  </si>
  <si>
    <t>NFN012BU-ROOF</t>
  </si>
  <si>
    <t>PTH001BK</t>
  </si>
  <si>
    <t>NFN057NL-ACCESSORY</t>
  </si>
  <si>
    <t>SPE001YB</t>
  </si>
  <si>
    <t>NFK014-ACCESSORY</t>
  </si>
  <si>
    <t>SPE002YB</t>
  </si>
  <si>
    <t>NFK010-ACCESSORY</t>
  </si>
  <si>
    <t>SPE003YB</t>
  </si>
  <si>
    <t>NFJ011-ACCESSORY</t>
  </si>
  <si>
    <t>NFN003NL-SLIDERAIL</t>
  </si>
  <si>
    <t>NFN064-ACCESSORY</t>
  </si>
  <si>
    <t>TLH010NL-RETURN</t>
  </si>
  <si>
    <t>BBB001-ACCESSORY</t>
  </si>
  <si>
    <t>NFN012WH-PART-14</t>
  </si>
  <si>
    <t>NFD006-ACCESSARY</t>
  </si>
  <si>
    <t>NFN025WH-ACCESSORY</t>
  </si>
  <si>
    <t>NFA002GR-RETURN</t>
  </si>
  <si>
    <t>NFN014-ACCESSORY</t>
  </si>
  <si>
    <t>TLH018NL</t>
  </si>
  <si>
    <t>NFD004-ACCESSARY</t>
  </si>
  <si>
    <t>NFN057NL-PART-O</t>
  </si>
  <si>
    <t>NFN008BN-ACCESSORY</t>
  </si>
  <si>
    <t>NFN008GR-ACCESSORY</t>
  </si>
  <si>
    <t>NFN069WH-ACCESSORY</t>
  </si>
  <si>
    <t>NFF004-ACCESSORY</t>
  </si>
  <si>
    <t>PTB035SL-ACCESSORY</t>
  </si>
  <si>
    <t>NFG001BK-PART-HKI</t>
  </si>
  <si>
    <t>NFN012-ACCESSORY</t>
  </si>
  <si>
    <t>NFN101-ACCESSORY</t>
  </si>
  <si>
    <t>NFN107WH-ACCESSORY</t>
  </si>
  <si>
    <t>NFN067-ACCESSORY</t>
  </si>
  <si>
    <t>PTB001GR</t>
  </si>
  <si>
    <t>NFP018BK-PART-G</t>
  </si>
  <si>
    <t>NFN015WH-PART-4</t>
  </si>
  <si>
    <t>NFN069BK-ACCESSORY</t>
  </si>
  <si>
    <t>BBK029-ACCESSORY</t>
  </si>
  <si>
    <t>BBC002GR-THINCLOTH</t>
  </si>
  <si>
    <t>NFN003NL-ACCESSORY</t>
  </si>
  <si>
    <t>NFN051NL-DOORWHEEL</t>
  </si>
  <si>
    <t>OFE004GR-CLOTHCOVER</t>
  </si>
  <si>
    <t>OFF007BK-ACCESSORY</t>
  </si>
  <si>
    <t>NFN088GR-ACCESSORY</t>
  </si>
  <si>
    <t>NFN108BG-ACCESSORY</t>
  </si>
  <si>
    <t>NFN007WH-ACCESSORY</t>
  </si>
  <si>
    <t>NFN058WH-ACCESSORY</t>
  </si>
  <si>
    <t>NFN063-ACCESSORY</t>
  </si>
  <si>
    <t>NFJ006WH</t>
  </si>
  <si>
    <t>BBC004GR-THICKCLOTH</t>
  </si>
  <si>
    <t>NFN070WH</t>
  </si>
  <si>
    <t>NFN039-ACCESSORY</t>
  </si>
  <si>
    <t>NFP001BN-ACCESSORY</t>
  </si>
  <si>
    <t>NFJ010BK-ACCESSORY</t>
  </si>
  <si>
    <t>NFN095BN-ACCESSORY</t>
  </si>
  <si>
    <t>PTB003SL-PART-E1</t>
  </si>
  <si>
    <t>PTB003SL-PART-E2</t>
  </si>
  <si>
    <t>OFE004WH-PART-C</t>
  </si>
  <si>
    <t>OFE004WH-PART-4</t>
  </si>
  <si>
    <t>BBC002GR-THICKCLOTH</t>
  </si>
  <si>
    <t>OFE004BK-ACCESSORY</t>
  </si>
  <si>
    <t>PTB001SL-DOORLOCK</t>
  </si>
  <si>
    <t>BBK030-ACCESSORY</t>
  </si>
  <si>
    <t>OFE004WH-CLOTHCOVER</t>
  </si>
  <si>
    <t>BBB002-ACCESSORY</t>
  </si>
  <si>
    <t>BBC004GR-THINCLOTH</t>
  </si>
  <si>
    <t>NFN013-ACCESSORY</t>
  </si>
  <si>
    <t>NFK009-ACCESSORY</t>
  </si>
  <si>
    <t>OFE007-FULLACCESSORY</t>
  </si>
  <si>
    <t>NFD004-PART-A</t>
  </si>
  <si>
    <t>NFN116WH</t>
  </si>
  <si>
    <t>BBC001GR-RETURN</t>
  </si>
  <si>
    <t>NFE001WH-RETURN</t>
  </si>
  <si>
    <t>NFK016BG-RETURN</t>
  </si>
  <si>
    <t>NFQ001WH-RETURN</t>
  </si>
  <si>
    <t>NFK013WH-RETURN</t>
  </si>
  <si>
    <t>NFK001ES-RETURN</t>
  </si>
  <si>
    <t>NFK014WH-RETURN</t>
  </si>
  <si>
    <t>ELQ003BK-RETURN</t>
  </si>
  <si>
    <t>BBC003DG-RETURN</t>
  </si>
  <si>
    <t>NFK005WH-RETURN</t>
  </si>
  <si>
    <t>NFN064NL-RETURN</t>
  </si>
  <si>
    <t>NFN056NL-RETURN</t>
  </si>
  <si>
    <t>NFP013BK-RETURN</t>
  </si>
  <si>
    <t>TLH001NL-RETURN</t>
  </si>
  <si>
    <t>NFN012BK-RETURN</t>
  </si>
  <si>
    <t>NFN009WH-RETURN</t>
  </si>
  <si>
    <t>NFN013WH-RETURN</t>
  </si>
  <si>
    <t>NFN099WH-RETURN</t>
  </si>
  <si>
    <t>NFN014BU-RETURN</t>
  </si>
  <si>
    <t>NFD004WH-RETURN</t>
  </si>
  <si>
    <t>NFN026NL-RETURN</t>
  </si>
  <si>
    <t>NFK015BG-RETURN</t>
  </si>
  <si>
    <t>NFE001BN-ACCESSORY</t>
  </si>
  <si>
    <t>NFE001BN-MIRROR</t>
  </si>
  <si>
    <t>NFE002WH-MIRROR</t>
  </si>
  <si>
    <t>NFN002NL-ACCESSARY</t>
  </si>
  <si>
    <t>NFA003WH-1</t>
  </si>
  <si>
    <t>BBC004BU-RETURN</t>
  </si>
  <si>
    <t>BBK008WH-ACCESSORY</t>
  </si>
  <si>
    <t>BBK008WH</t>
  </si>
  <si>
    <t>NFN064-DOORPLANK</t>
  </si>
  <si>
    <t>NFN020WH-ACCESSORY</t>
  </si>
  <si>
    <t>NFN069BK-HINGE</t>
  </si>
  <si>
    <t>PTB035SL-2-RETURN</t>
  </si>
  <si>
    <t>NFN020BK-ACCESSORY</t>
  </si>
  <si>
    <t>OFC00-ACCESSORY</t>
  </si>
  <si>
    <t>PTB034SL-ACCESSORY</t>
  </si>
  <si>
    <t>NFN005NL-SLIDERAIL</t>
  </si>
  <si>
    <t>PTB003SL-PART-2A</t>
  </si>
  <si>
    <t>NFK002GR-RETURN</t>
  </si>
  <si>
    <t>PTB003SL-PART-CARTON</t>
  </si>
  <si>
    <t>PTB035SL-1-RETURN</t>
  </si>
  <si>
    <t>PTB003SL-PART-RIBBON</t>
  </si>
  <si>
    <t>PTB003SL-PART-C</t>
  </si>
  <si>
    <t>NFA003WH-2</t>
  </si>
  <si>
    <t>NFN101BK-RETURN</t>
  </si>
  <si>
    <t>NFN096WH-ACCESSORY</t>
  </si>
  <si>
    <t>NFN032NL-RETURN</t>
  </si>
  <si>
    <t>PTB003SL-PART-G</t>
  </si>
  <si>
    <t>NFJ003-ACCESSARY2</t>
  </si>
  <si>
    <t>PTB003SL-PART-I</t>
  </si>
  <si>
    <t>NFC004WH-RETURN</t>
  </si>
  <si>
    <t>NFC004WH</t>
  </si>
  <si>
    <t>NFN089WH-ACCESSORY</t>
  </si>
  <si>
    <t>PTB003SL-PART-J</t>
  </si>
  <si>
    <t>NFS002BN-RETURN</t>
  </si>
  <si>
    <t>OFE004GR-ARMREST-A</t>
  </si>
  <si>
    <t>PTB003SL-PART-1</t>
  </si>
  <si>
    <t>NFD007WH-ACCESSORY</t>
  </si>
  <si>
    <t>NFD007WH</t>
  </si>
  <si>
    <t>OFE004GR-ARMREST-B</t>
  </si>
  <si>
    <t>NFN009WH-ACCESSORY</t>
  </si>
  <si>
    <t>ELQ002-CIRCUITBOARD</t>
  </si>
  <si>
    <t>NFN005NL-ACCESSORY</t>
  </si>
  <si>
    <t>NFJ005BG-ACCESSORY</t>
  </si>
  <si>
    <t>NFD007BN-ACCESSORY</t>
  </si>
  <si>
    <t>NFD007BN</t>
  </si>
  <si>
    <t>BBK029WH-BUCKET</t>
  </si>
  <si>
    <t>NFD004-PART-J</t>
  </si>
  <si>
    <t>PTB009SL-PART-4</t>
  </si>
  <si>
    <t>ELQ002-REMOTECONTROL</t>
  </si>
  <si>
    <t>TLH002-FOOTPAD</t>
  </si>
  <si>
    <t>BBK029MZ-BUCKET</t>
  </si>
  <si>
    <t>PTB009SL-PART-5A</t>
  </si>
  <si>
    <t>TLH001-WHEEL</t>
  </si>
  <si>
    <t>NFN078BK-RETURN</t>
  </si>
  <si>
    <t>PTB009SL-PART-A</t>
  </si>
  <si>
    <t>ELQ003-LIGHTBAR</t>
  </si>
  <si>
    <t>NFN055-ACCESSORY</t>
  </si>
  <si>
    <t>NFN097-ACCESSORY</t>
  </si>
  <si>
    <t>ELQ003-CIRCUITBOARD</t>
  </si>
  <si>
    <t>NFN012WH-RETURN</t>
  </si>
  <si>
    <t>NFE007WH-ACCESSORY</t>
  </si>
  <si>
    <t>PTB026SL-ACCESSORY</t>
  </si>
  <si>
    <t>NFD007GR-ACCESSARY</t>
  </si>
  <si>
    <t>NFD007GR</t>
  </si>
  <si>
    <t>NFS002BN-ACCESSORY</t>
  </si>
  <si>
    <t>NFN041-ACCESSORY</t>
  </si>
  <si>
    <t>NFN047-ACCESSORY</t>
  </si>
  <si>
    <t>NFN021NL-ACCESSORY</t>
  </si>
  <si>
    <t>OFF007BK-THERMOMETER</t>
  </si>
  <si>
    <t>NFN085WH-ACCESSORY</t>
  </si>
  <si>
    <t>NFN085WH</t>
  </si>
  <si>
    <t>BBK003MZ-ACCESSORY</t>
  </si>
  <si>
    <t>NFC002WH-RETURN</t>
  </si>
  <si>
    <t>NFC002WH</t>
  </si>
  <si>
    <t>NFE002WH-SLIDINGRAIL</t>
  </si>
  <si>
    <t>NFN043-ACCESSORY</t>
  </si>
  <si>
    <t>NFN098-ACCESSORY</t>
  </si>
  <si>
    <t>TLH009NL-HANGINGBOARD</t>
  </si>
  <si>
    <t>PTB010SL-ACCESSORY</t>
  </si>
  <si>
    <t>NFN085WH-RETURN</t>
  </si>
  <si>
    <t>NFJ009-ACCESSORY</t>
  </si>
  <si>
    <t>NFN039NL-RETURN</t>
  </si>
  <si>
    <t>NFK007WH-RETURN</t>
  </si>
  <si>
    <t>BBC002BU-RETURN</t>
  </si>
  <si>
    <t>TLH001NL-ROOF</t>
  </si>
  <si>
    <t>TLH011-ROOF</t>
  </si>
  <si>
    <t>NFN117WH-ACCESSORY</t>
  </si>
  <si>
    <t>NFN062BK-RETURN</t>
  </si>
  <si>
    <t>NFN110WH-ACCESSORY</t>
  </si>
  <si>
    <t>NFN111WH-ACCESSORY</t>
  </si>
  <si>
    <t>NFN116WH-ACCESSORY</t>
  </si>
  <si>
    <t>NFN118-ACCESSORY</t>
  </si>
  <si>
    <t>NFN058GR-RETURN</t>
  </si>
  <si>
    <t>NFK013ES-RETURN</t>
  </si>
  <si>
    <t>PTB026SL-NET</t>
  </si>
  <si>
    <t>PTB026SL-BU</t>
  </si>
  <si>
    <t>PTB033SL-BU</t>
  </si>
  <si>
    <t>PTB026SL-BU-2</t>
  </si>
  <si>
    <t>NFN109WH-ACCESSORY</t>
  </si>
  <si>
    <t>BBK029WH-BUCKET-MIX</t>
  </si>
  <si>
    <t>BBK029WH-BUCKET-SMALL</t>
  </si>
  <si>
    <t>NFN099BK-RETURN</t>
  </si>
  <si>
    <t>NFN088GR-RETURN</t>
  </si>
  <si>
    <t>NFN054WH-RETURN</t>
  </si>
  <si>
    <t>NFN070BK-RETURN</t>
  </si>
  <si>
    <t>NFN070BK</t>
  </si>
  <si>
    <t>BBC002GR-RETURN</t>
  </si>
  <si>
    <t>OFL004PU-RETURN</t>
  </si>
  <si>
    <t>NFN065WH-RETURN</t>
  </si>
  <si>
    <t>OFC002GR-1-RETURN</t>
  </si>
  <si>
    <t>NFK002ES-RETURN</t>
  </si>
  <si>
    <t>QTM001SL-RETURN</t>
  </si>
  <si>
    <t>NFG001BN-RETURN</t>
  </si>
  <si>
    <t>NFN063WT-2-RETURN</t>
  </si>
  <si>
    <t>BBC004GR-RETURN</t>
  </si>
  <si>
    <t>PTB002WH</t>
  </si>
  <si>
    <t>NFN101WH-RETURN</t>
  </si>
  <si>
    <t>NFK001GR-RETURN</t>
  </si>
  <si>
    <t>NFN033NL-RETURN</t>
  </si>
  <si>
    <t>NFN041NL-RETURN</t>
  </si>
  <si>
    <t>NFN005NL-RETURN</t>
  </si>
  <si>
    <t>OFE005BU-RETURN</t>
  </si>
  <si>
    <t>TLH015NL-RETURN</t>
  </si>
  <si>
    <t>NFN015WH-RETURN</t>
  </si>
  <si>
    <t>BBK033MZ-RETURN</t>
  </si>
  <si>
    <t>NFN029WH-RETURN</t>
  </si>
  <si>
    <t>NFK002WH-LEG</t>
  </si>
  <si>
    <t>NFK008WH-RETURN</t>
  </si>
  <si>
    <t>NFN013BK-RETURN</t>
  </si>
  <si>
    <t>NFK001WH-LEG</t>
  </si>
  <si>
    <t>OFF007BK-ACCESSROY-STONE</t>
  </si>
  <si>
    <t>NFK004WH-LEG</t>
  </si>
  <si>
    <t>OFE011GD-RETURN</t>
  </si>
  <si>
    <t>NFN027NL-RETURN</t>
  </si>
  <si>
    <t>NFN014WH-RETURN</t>
  </si>
  <si>
    <t>NFP015GR-RETURN</t>
  </si>
  <si>
    <t>ELQ001BK</t>
  </si>
  <si>
    <t>NFN043NL-RETURN</t>
  </si>
  <si>
    <t>NFD004GR-RETURN</t>
  </si>
  <si>
    <t>NFM002BN-RETURN</t>
  </si>
  <si>
    <t>PTB025SL-RETURN</t>
  </si>
  <si>
    <t>OFE007GR-RETURN</t>
  </si>
  <si>
    <t>NFP015WH-RETURN</t>
  </si>
  <si>
    <t>OFE004GR-RETURN</t>
  </si>
  <si>
    <t>NFN016WH-RETURN</t>
  </si>
  <si>
    <t>NFN069WH-RETURN</t>
  </si>
  <si>
    <t>NFE004WH-RETURN</t>
  </si>
  <si>
    <t>OFE012GD-RETURN</t>
  </si>
  <si>
    <t>NFE001BN-SLIDERAIL</t>
  </si>
  <si>
    <t>OFE006GR-2-RETURN</t>
  </si>
  <si>
    <t>NFN014BK-RETURN</t>
  </si>
  <si>
    <t>TLH017NL-RETURN</t>
  </si>
  <si>
    <t>OFE013GD-RETURN</t>
  </si>
  <si>
    <t>NFN044NL-RETURN</t>
  </si>
  <si>
    <t>BBK019WH-RETURN</t>
  </si>
  <si>
    <t>NFK016GR-RETURN</t>
  </si>
  <si>
    <t>NFN070WH-RETURN</t>
  </si>
  <si>
    <t>BBK003MZ-RETURN</t>
  </si>
  <si>
    <t>BBK028MZ-2-RETURN</t>
  </si>
  <si>
    <t>NFN018NL-RETURN</t>
  </si>
  <si>
    <t>BBK029WH-RETURN</t>
  </si>
  <si>
    <t>NFN015BK-RETURN</t>
  </si>
  <si>
    <t>TLH013-ACCESSORY</t>
  </si>
  <si>
    <t>NFN025WH-RETURN</t>
  </si>
  <si>
    <t>OFE005GR-RETURN</t>
  </si>
  <si>
    <t>NFF003WH-RETURN</t>
  </si>
  <si>
    <t>NFN058WH-RETURN</t>
  </si>
  <si>
    <t>NFN003NL-RETURN</t>
  </si>
  <si>
    <t>BBK017MZ-RETURN</t>
  </si>
  <si>
    <t>OFE004BU-RETURN</t>
  </si>
  <si>
    <t>NFN015GB-RETURN</t>
  </si>
  <si>
    <t>OFC001GR-1-RETURN</t>
  </si>
  <si>
    <t>OFE006WH-2-RETURN</t>
  </si>
  <si>
    <t>BBK015MZ-RETURN</t>
  </si>
  <si>
    <t>OFE006BU-1-RETURN</t>
  </si>
  <si>
    <t>OFC001GR-2-RETURN</t>
  </si>
  <si>
    <t>NFN004BK-RETURN</t>
  </si>
  <si>
    <t>OFF007BK-HANDLE</t>
  </si>
  <si>
    <t>NFN019NL-RETURN</t>
  </si>
  <si>
    <t>OFE006BU-2-RETURN</t>
  </si>
  <si>
    <t>BBK021MZ-RETURN</t>
  </si>
  <si>
    <t>OFC001GR-3-RETURN</t>
  </si>
  <si>
    <t>NFN066GR-RETURN</t>
  </si>
  <si>
    <t>NFN017NL-RETURN</t>
  </si>
  <si>
    <t>TLH001NL-ACCESSORY</t>
  </si>
  <si>
    <t>OFE006GR-1-RETURN</t>
  </si>
  <si>
    <t>NFN061BK-ACCESSORY</t>
  </si>
  <si>
    <t>PTB010SL-RETURN</t>
  </si>
  <si>
    <t>NFN061WH-ACCESSORY</t>
  </si>
  <si>
    <t>NFN012GR-RETURN</t>
  </si>
  <si>
    <t>NFN062BK-ACCESSORY</t>
  </si>
  <si>
    <t>NFN012BU-RETURN</t>
  </si>
  <si>
    <t>NFN002NL-RETURN</t>
  </si>
  <si>
    <t>NFN051NL-RETURN</t>
  </si>
  <si>
    <t>NFN028NL-RETURN</t>
  </si>
  <si>
    <t>NFN062WH-ACCESSORY</t>
  </si>
  <si>
    <t>NFN023NL-RETURN</t>
  </si>
  <si>
    <t>NFN095WH-RETURN</t>
  </si>
  <si>
    <t>NFN067GR-RETURN</t>
  </si>
  <si>
    <t>NFN061WH-RETURN</t>
  </si>
  <si>
    <t>NFN088WH-RETURN</t>
  </si>
  <si>
    <t>NFN057NL-RETURN</t>
  </si>
  <si>
    <t>OFE007WH-RETURN</t>
  </si>
  <si>
    <t>NFN006WH-RETURN</t>
  </si>
  <si>
    <t>NFJ003BG-RETURN</t>
  </si>
  <si>
    <t>PTB005GR-RETURN</t>
  </si>
  <si>
    <t>NFN022NL-RETURN</t>
  </si>
  <si>
    <t>NFN061BK-RETURN</t>
  </si>
  <si>
    <t>PTC001GR</t>
  </si>
  <si>
    <t>NFJ008BK-RETURN</t>
  </si>
  <si>
    <t>NFJ003BK-RETURN</t>
  </si>
  <si>
    <t>BBK002MZ-RETURN</t>
  </si>
  <si>
    <t>NFJ010BK-RETURN</t>
  </si>
  <si>
    <t>NFN014GR-RETURN</t>
  </si>
  <si>
    <t>OFL006BU-RETURN</t>
  </si>
  <si>
    <t>BBK023MZ-RETURN</t>
  </si>
  <si>
    <t>NFF004WH-RETURN</t>
  </si>
  <si>
    <t>BBH003BU-RETURN</t>
  </si>
  <si>
    <t>BBK033MZ-CHANGE</t>
  </si>
  <si>
    <t>BBF002GR-RETURN</t>
  </si>
  <si>
    <t>BBF001GR-RETURN</t>
  </si>
  <si>
    <t>NFD008GR-RETURN</t>
  </si>
  <si>
    <t>OFE005WH-RETURN</t>
  </si>
  <si>
    <t>TLH011NL-RETURN</t>
  </si>
  <si>
    <t>NFK006WH-RETURN</t>
  </si>
  <si>
    <t>OFE006WH-1-REUTRN</t>
  </si>
  <si>
    <t>OFE004WH-RETURN</t>
  </si>
  <si>
    <t>NFP018BK-RETURN</t>
  </si>
  <si>
    <t>BBK031MZ-RETURN</t>
  </si>
  <si>
    <t>BBK032MZ-RETURN</t>
  </si>
  <si>
    <t>NFN107WH-RETURN</t>
  </si>
  <si>
    <t>BBH003GR-RETURN</t>
  </si>
  <si>
    <t>BBH003RE-RETURN</t>
  </si>
  <si>
    <t>BBG002GR-RETURN</t>
  </si>
  <si>
    <t>BBA001GR-RETURN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</si>
</sst>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21"/>
  <sheetViews>
    <sheetView tabSelected="1" workbookViewId="0">
      <selection activeCell="K22" sqref="K22"/>
    </sheetView>
  </sheetViews>
  <sheetFormatPr defaultColWidth="9" defaultRowHeight="13.5"/>
  <cols>
    <col min="5" max="5" width="9" style="1"/>
    <col min="8" max="8" width="12.625" style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T1" t="s">
        <v>0</v>
      </c>
      <c r="U1" t="s">
        <v>6</v>
      </c>
    </row>
    <row r="2" spans="1:21">
      <c r="A2" t="s">
        <v>8</v>
      </c>
      <c r="B2" t="s">
        <v>9</v>
      </c>
      <c r="C2">
        <v>317.017955</v>
      </c>
      <c r="D2">
        <v>315</v>
      </c>
      <c r="E2" s="1" t="s">
        <v>8</v>
      </c>
      <c r="F2">
        <f>VLOOKUP(E2,A:D,4,0)</f>
        <v>315</v>
      </c>
      <c r="G2">
        <f>VLOOKUP(E2,T:U,2,0)</f>
        <v>34</v>
      </c>
      <c r="H2" s="1">
        <f>C2/(F2+G2)</f>
        <v>0.908360902578797</v>
      </c>
      <c r="T2" t="s">
        <v>10</v>
      </c>
      <c r="U2">
        <v>89</v>
      </c>
    </row>
    <row r="3" spans="1:21">
      <c r="A3" t="s">
        <v>11</v>
      </c>
      <c r="B3" t="s">
        <v>12</v>
      </c>
      <c r="C3">
        <v>96.336876</v>
      </c>
      <c r="D3">
        <v>91</v>
      </c>
      <c r="E3" s="1" t="s">
        <v>11</v>
      </c>
      <c r="F3">
        <f t="shared" ref="F3:F66" si="0">VLOOKUP(E3,A:D,4,0)</f>
        <v>91</v>
      </c>
      <c r="G3">
        <f t="shared" ref="G3:G66" si="1">VLOOKUP(E3,T:U,2,0)</f>
        <v>18</v>
      </c>
      <c r="H3" s="1">
        <f t="shared" ref="H3:H66" si="2">C3/(F3+G3)</f>
        <v>0.883824550458716</v>
      </c>
      <c r="T3" t="s">
        <v>13</v>
      </c>
      <c r="U3">
        <v>35</v>
      </c>
    </row>
    <row r="4" spans="1:21">
      <c r="A4" t="s">
        <v>14</v>
      </c>
      <c r="B4" t="s">
        <v>12</v>
      </c>
      <c r="C4">
        <v>115.462094</v>
      </c>
      <c r="D4">
        <v>76</v>
      </c>
      <c r="E4" s="1" t="s">
        <v>14</v>
      </c>
      <c r="F4">
        <f t="shared" si="0"/>
        <v>76</v>
      </c>
      <c r="G4">
        <f t="shared" si="1"/>
        <v>61</v>
      </c>
      <c r="H4" s="1">
        <f t="shared" si="2"/>
        <v>0.84278900729927</v>
      </c>
      <c r="T4" t="s">
        <v>15</v>
      </c>
      <c r="U4">
        <v>30</v>
      </c>
    </row>
    <row r="5" spans="1:21">
      <c r="A5" t="s">
        <v>16</v>
      </c>
      <c r="B5" t="s">
        <v>12</v>
      </c>
      <c r="C5">
        <v>98.390801</v>
      </c>
      <c r="D5">
        <v>72</v>
      </c>
      <c r="E5" s="1" t="s">
        <v>16</v>
      </c>
      <c r="F5">
        <f t="shared" si="0"/>
        <v>72</v>
      </c>
      <c r="G5">
        <f t="shared" si="1"/>
        <v>61</v>
      </c>
      <c r="H5" s="1">
        <f t="shared" si="2"/>
        <v>0.739780458646617</v>
      </c>
      <c r="T5" t="s">
        <v>17</v>
      </c>
      <c r="U5">
        <v>36</v>
      </c>
    </row>
    <row r="6" spans="1:21">
      <c r="A6" t="s">
        <v>18</v>
      </c>
      <c r="B6" t="s">
        <v>12</v>
      </c>
      <c r="C6">
        <v>350.284056</v>
      </c>
      <c r="D6">
        <v>209</v>
      </c>
      <c r="E6" s="1" t="s">
        <v>18</v>
      </c>
      <c r="F6">
        <f t="shared" si="0"/>
        <v>209</v>
      </c>
      <c r="G6">
        <f t="shared" si="1"/>
        <v>9</v>
      </c>
      <c r="H6" s="1">
        <f t="shared" si="2"/>
        <v>1.60680759633028</v>
      </c>
      <c r="T6" t="s">
        <v>19</v>
      </c>
      <c r="U6">
        <v>61</v>
      </c>
    </row>
    <row r="7" spans="1:21">
      <c r="A7" t="s">
        <v>20</v>
      </c>
      <c r="B7" t="s">
        <v>12</v>
      </c>
      <c r="C7">
        <v>29.680641</v>
      </c>
      <c r="D7">
        <v>332</v>
      </c>
      <c r="E7" s="1" t="s">
        <v>20</v>
      </c>
      <c r="F7">
        <f t="shared" si="0"/>
        <v>332</v>
      </c>
      <c r="G7">
        <f t="shared" si="1"/>
        <v>216</v>
      </c>
      <c r="H7" s="1">
        <f t="shared" si="2"/>
        <v>0.054161753649635</v>
      </c>
      <c r="T7" t="s">
        <v>21</v>
      </c>
      <c r="U7">
        <v>33</v>
      </c>
    </row>
    <row r="8" spans="1:21">
      <c r="A8" t="s">
        <v>22</v>
      </c>
      <c r="B8" t="s">
        <v>12</v>
      </c>
      <c r="C8">
        <v>39.002823</v>
      </c>
      <c r="D8">
        <v>182</v>
      </c>
      <c r="E8" s="1" t="s">
        <v>22</v>
      </c>
      <c r="F8">
        <f t="shared" si="0"/>
        <v>182</v>
      </c>
      <c r="G8">
        <f t="shared" si="1"/>
        <v>105</v>
      </c>
      <c r="H8" s="1">
        <f t="shared" si="2"/>
        <v>0.135898337979094</v>
      </c>
      <c r="T8" t="s">
        <v>23</v>
      </c>
      <c r="U8">
        <v>5</v>
      </c>
    </row>
    <row r="9" spans="1:21">
      <c r="A9" t="s">
        <v>24</v>
      </c>
      <c r="B9" t="s">
        <v>12</v>
      </c>
      <c r="C9">
        <v>74.62683</v>
      </c>
      <c r="D9">
        <v>222</v>
      </c>
      <c r="E9" s="1" t="s">
        <v>24</v>
      </c>
      <c r="F9">
        <f t="shared" si="0"/>
        <v>222</v>
      </c>
      <c r="G9">
        <v>0</v>
      </c>
      <c r="H9" s="1">
        <f t="shared" si="2"/>
        <v>0.336156891891892</v>
      </c>
      <c r="T9" t="s">
        <v>25</v>
      </c>
      <c r="U9">
        <v>11</v>
      </c>
    </row>
    <row r="10" spans="1:21">
      <c r="A10" t="s">
        <v>26</v>
      </c>
      <c r="B10" t="s">
        <v>12</v>
      </c>
      <c r="C10">
        <v>0.15925</v>
      </c>
      <c r="D10">
        <v>16</v>
      </c>
      <c r="E10" s="1" t="s">
        <v>27</v>
      </c>
      <c r="F10">
        <f t="shared" si="0"/>
        <v>899</v>
      </c>
      <c r="G10">
        <f t="shared" si="1"/>
        <v>265</v>
      </c>
      <c r="H10" s="1">
        <f t="shared" si="2"/>
        <v>0.000136812714776632</v>
      </c>
      <c r="T10" t="s">
        <v>28</v>
      </c>
      <c r="U10">
        <v>6</v>
      </c>
    </row>
    <row r="11" spans="1:21">
      <c r="A11" t="s">
        <v>29</v>
      </c>
      <c r="B11" t="s">
        <v>12</v>
      </c>
      <c r="C11">
        <v>204.178366</v>
      </c>
      <c r="D11">
        <v>121</v>
      </c>
      <c r="E11" s="1" t="s">
        <v>29</v>
      </c>
      <c r="F11">
        <f t="shared" si="0"/>
        <v>121</v>
      </c>
      <c r="G11">
        <f t="shared" si="1"/>
        <v>52</v>
      </c>
      <c r="H11" s="1">
        <f t="shared" si="2"/>
        <v>1.18022176878613</v>
      </c>
      <c r="T11" t="s">
        <v>30</v>
      </c>
      <c r="U11">
        <v>36</v>
      </c>
    </row>
    <row r="12" spans="1:21">
      <c r="A12" t="s">
        <v>31</v>
      </c>
      <c r="B12" t="s">
        <v>12</v>
      </c>
      <c r="C12">
        <v>431.034537</v>
      </c>
      <c r="D12">
        <v>334</v>
      </c>
      <c r="E12" s="1" t="s">
        <v>31</v>
      </c>
      <c r="F12">
        <f t="shared" si="0"/>
        <v>334</v>
      </c>
      <c r="G12">
        <f t="shared" si="1"/>
        <v>19</v>
      </c>
      <c r="H12" s="1">
        <f t="shared" si="2"/>
        <v>1.22106101133144</v>
      </c>
      <c r="T12" t="s">
        <v>32</v>
      </c>
      <c r="U12">
        <v>21</v>
      </c>
    </row>
    <row r="13" spans="1:21">
      <c r="A13" t="s">
        <v>33</v>
      </c>
      <c r="B13" t="s">
        <v>12</v>
      </c>
      <c r="C13">
        <v>0.05564</v>
      </c>
      <c r="D13">
        <v>14</v>
      </c>
      <c r="E13" s="1" t="s">
        <v>34</v>
      </c>
      <c r="F13">
        <f t="shared" si="0"/>
        <v>489</v>
      </c>
      <c r="G13">
        <f t="shared" si="1"/>
        <v>139</v>
      </c>
      <c r="H13" s="1">
        <f t="shared" si="2"/>
        <v>8.85987261146497e-5</v>
      </c>
      <c r="T13" t="s">
        <v>35</v>
      </c>
      <c r="U13">
        <v>37</v>
      </c>
    </row>
    <row r="14" spans="1:21">
      <c r="A14" t="s">
        <v>36</v>
      </c>
      <c r="B14" t="s">
        <v>9</v>
      </c>
      <c r="C14">
        <v>9.326318</v>
      </c>
      <c r="D14">
        <v>6</v>
      </c>
      <c r="E14" s="1" t="s">
        <v>36</v>
      </c>
      <c r="F14">
        <f t="shared" si="0"/>
        <v>6</v>
      </c>
      <c r="G14">
        <f t="shared" si="1"/>
        <v>11</v>
      </c>
      <c r="H14" s="1">
        <f t="shared" si="2"/>
        <v>0.548606941176471</v>
      </c>
      <c r="T14" t="s">
        <v>37</v>
      </c>
      <c r="U14">
        <v>3</v>
      </c>
    </row>
    <row r="15" spans="1:21">
      <c r="A15" t="s">
        <v>38</v>
      </c>
      <c r="B15" t="s">
        <v>9</v>
      </c>
      <c r="C15">
        <v>159.470371</v>
      </c>
      <c r="D15">
        <v>193</v>
      </c>
      <c r="E15" s="1" t="s">
        <v>38</v>
      </c>
      <c r="F15">
        <f t="shared" si="0"/>
        <v>193</v>
      </c>
      <c r="G15">
        <f t="shared" si="1"/>
        <v>13</v>
      </c>
      <c r="H15" s="1">
        <f t="shared" si="2"/>
        <v>0.774128014563107</v>
      </c>
      <c r="T15" t="s">
        <v>39</v>
      </c>
      <c r="U15">
        <v>1</v>
      </c>
    </row>
    <row r="16" spans="1:21">
      <c r="A16" t="s">
        <v>40</v>
      </c>
      <c r="B16" t="s">
        <v>12</v>
      </c>
      <c r="C16">
        <v>394.079143</v>
      </c>
      <c r="D16">
        <v>336</v>
      </c>
      <c r="E16" s="1" t="s">
        <v>40</v>
      </c>
      <c r="F16">
        <f t="shared" si="0"/>
        <v>336</v>
      </c>
      <c r="G16">
        <f t="shared" si="1"/>
        <v>90</v>
      </c>
      <c r="H16" s="1">
        <f t="shared" si="2"/>
        <v>0.925068410798122</v>
      </c>
      <c r="T16" t="s">
        <v>41</v>
      </c>
      <c r="U16">
        <v>1</v>
      </c>
    </row>
    <row r="17" spans="1:21">
      <c r="A17" t="s">
        <v>42</v>
      </c>
      <c r="B17" t="s">
        <v>12</v>
      </c>
      <c r="C17">
        <v>258.497935</v>
      </c>
      <c r="D17">
        <v>210</v>
      </c>
      <c r="E17" s="1" t="s">
        <v>42</v>
      </c>
      <c r="F17">
        <f t="shared" si="0"/>
        <v>210</v>
      </c>
      <c r="G17">
        <f t="shared" si="1"/>
        <v>3</v>
      </c>
      <c r="H17" s="1">
        <f t="shared" si="2"/>
        <v>1.2136053286385</v>
      </c>
      <c r="T17" t="s">
        <v>43</v>
      </c>
      <c r="U17">
        <v>3</v>
      </c>
    </row>
    <row r="18" spans="1:21">
      <c r="A18" t="s">
        <v>44</v>
      </c>
      <c r="B18" t="s">
        <v>12</v>
      </c>
      <c r="C18">
        <v>109.294253</v>
      </c>
      <c r="D18">
        <v>98</v>
      </c>
      <c r="E18" s="1" t="s">
        <v>44</v>
      </c>
      <c r="F18">
        <f t="shared" si="0"/>
        <v>98</v>
      </c>
      <c r="G18">
        <f t="shared" si="1"/>
        <v>11</v>
      </c>
      <c r="H18" s="1">
        <f t="shared" si="2"/>
        <v>1.00269956880734</v>
      </c>
      <c r="T18" t="s">
        <v>45</v>
      </c>
      <c r="U18">
        <v>17</v>
      </c>
    </row>
    <row r="19" spans="1:21">
      <c r="A19" t="s">
        <v>46</v>
      </c>
      <c r="B19" t="s">
        <v>12</v>
      </c>
      <c r="C19">
        <v>0.0432</v>
      </c>
      <c r="D19">
        <v>3</v>
      </c>
      <c r="E19" s="1" t="s">
        <v>34</v>
      </c>
      <c r="F19">
        <f t="shared" si="0"/>
        <v>489</v>
      </c>
      <c r="G19">
        <f t="shared" si="1"/>
        <v>139</v>
      </c>
      <c r="H19" s="1">
        <f t="shared" si="2"/>
        <v>6.87898089171975e-5</v>
      </c>
      <c r="T19" t="s">
        <v>47</v>
      </c>
      <c r="U19">
        <v>1</v>
      </c>
    </row>
    <row r="20" spans="1:21">
      <c r="A20" t="s">
        <v>48</v>
      </c>
      <c r="B20" t="s">
        <v>12</v>
      </c>
      <c r="C20">
        <v>75.018518</v>
      </c>
      <c r="D20">
        <v>467</v>
      </c>
      <c r="E20" s="1" t="s">
        <v>48</v>
      </c>
      <c r="F20">
        <f t="shared" si="0"/>
        <v>467</v>
      </c>
      <c r="G20">
        <f t="shared" si="1"/>
        <v>217</v>
      </c>
      <c r="H20" s="1">
        <f t="shared" si="2"/>
        <v>0.109676195906433</v>
      </c>
      <c r="T20" t="s">
        <v>49</v>
      </c>
      <c r="U20">
        <v>20</v>
      </c>
    </row>
    <row r="21" spans="1:21">
      <c r="A21" t="s">
        <v>50</v>
      </c>
      <c r="B21" t="s">
        <v>12</v>
      </c>
      <c r="C21">
        <v>22.545996</v>
      </c>
      <c r="D21">
        <v>214</v>
      </c>
      <c r="E21" s="1" t="s">
        <v>50</v>
      </c>
      <c r="F21">
        <f t="shared" si="0"/>
        <v>214</v>
      </c>
      <c r="G21">
        <f t="shared" si="1"/>
        <v>58</v>
      </c>
      <c r="H21" s="1">
        <f t="shared" si="2"/>
        <v>0.0828896911764706</v>
      </c>
      <c r="T21" t="s">
        <v>51</v>
      </c>
      <c r="U21">
        <v>18</v>
      </c>
    </row>
    <row r="22" spans="1:21">
      <c r="A22" t="s">
        <v>52</v>
      </c>
      <c r="B22" t="s">
        <v>12</v>
      </c>
      <c r="C22">
        <v>306.000204</v>
      </c>
      <c r="D22">
        <v>481</v>
      </c>
      <c r="E22" s="1" t="s">
        <v>52</v>
      </c>
      <c r="F22">
        <f t="shared" si="0"/>
        <v>481</v>
      </c>
      <c r="G22">
        <f t="shared" si="1"/>
        <v>57</v>
      </c>
      <c r="H22" s="1">
        <f t="shared" si="2"/>
        <v>0.5687736133829</v>
      </c>
      <c r="T22" t="s">
        <v>53</v>
      </c>
      <c r="U22">
        <v>58</v>
      </c>
    </row>
    <row r="23" spans="1:21">
      <c r="A23" t="s">
        <v>54</v>
      </c>
      <c r="B23" t="s">
        <v>12</v>
      </c>
      <c r="C23">
        <v>0.036</v>
      </c>
      <c r="D23">
        <v>8</v>
      </c>
      <c r="E23" s="1" t="s">
        <v>55</v>
      </c>
      <c r="F23">
        <f t="shared" si="0"/>
        <v>176</v>
      </c>
      <c r="G23">
        <f t="shared" si="1"/>
        <v>27</v>
      </c>
      <c r="H23" s="1">
        <f t="shared" si="2"/>
        <v>0.000177339901477833</v>
      </c>
      <c r="T23" t="s">
        <v>56</v>
      </c>
      <c r="U23">
        <v>37</v>
      </c>
    </row>
    <row r="24" spans="1:21">
      <c r="A24" t="s">
        <v>57</v>
      </c>
      <c r="B24" t="s">
        <v>12</v>
      </c>
      <c r="C24">
        <v>216.455911</v>
      </c>
      <c r="D24">
        <v>211</v>
      </c>
      <c r="E24" s="1" t="s">
        <v>57</v>
      </c>
      <c r="F24">
        <f t="shared" si="0"/>
        <v>211</v>
      </c>
      <c r="G24">
        <f t="shared" si="1"/>
        <v>55</v>
      </c>
      <c r="H24" s="1">
        <f t="shared" si="2"/>
        <v>0.813744026315789</v>
      </c>
      <c r="T24" t="s">
        <v>58</v>
      </c>
      <c r="U24">
        <v>17</v>
      </c>
    </row>
    <row r="25" spans="1:21">
      <c r="A25" t="s">
        <v>59</v>
      </c>
      <c r="B25" t="s">
        <v>12</v>
      </c>
      <c r="C25">
        <v>195.388927</v>
      </c>
      <c r="D25">
        <v>203</v>
      </c>
      <c r="E25" s="1" t="s">
        <v>59</v>
      </c>
      <c r="F25">
        <f t="shared" si="0"/>
        <v>203</v>
      </c>
      <c r="G25">
        <f t="shared" si="1"/>
        <v>74</v>
      </c>
      <c r="H25" s="1">
        <f t="shared" si="2"/>
        <v>0.705375187725632</v>
      </c>
      <c r="T25" t="s">
        <v>60</v>
      </c>
      <c r="U25">
        <v>3</v>
      </c>
    </row>
    <row r="26" spans="1:21">
      <c r="A26" t="s">
        <v>61</v>
      </c>
      <c r="B26" t="s">
        <v>12</v>
      </c>
      <c r="C26">
        <v>0.899658</v>
      </c>
      <c r="D26">
        <v>3</v>
      </c>
      <c r="E26" s="1" t="s">
        <v>62</v>
      </c>
      <c r="F26">
        <f t="shared" si="0"/>
        <v>155</v>
      </c>
      <c r="G26">
        <f t="shared" si="1"/>
        <v>6</v>
      </c>
      <c r="H26" s="1">
        <f t="shared" si="2"/>
        <v>0.00558793788819876</v>
      </c>
      <c r="T26" t="s">
        <v>63</v>
      </c>
      <c r="U26">
        <v>5</v>
      </c>
    </row>
    <row r="27" spans="1:21">
      <c r="A27" t="s">
        <v>64</v>
      </c>
      <c r="B27" t="s">
        <v>9</v>
      </c>
      <c r="C27">
        <v>666.089861</v>
      </c>
      <c r="D27">
        <v>329</v>
      </c>
      <c r="E27" s="1" t="s">
        <v>64</v>
      </c>
      <c r="F27">
        <f t="shared" si="0"/>
        <v>329</v>
      </c>
      <c r="G27">
        <f t="shared" si="1"/>
        <v>29</v>
      </c>
      <c r="H27" s="1">
        <f t="shared" si="2"/>
        <v>1.86058620391061</v>
      </c>
      <c r="T27" t="s">
        <v>65</v>
      </c>
      <c r="U27">
        <v>12</v>
      </c>
    </row>
    <row r="28" spans="1:21">
      <c r="A28" t="s">
        <v>66</v>
      </c>
      <c r="B28" t="s">
        <v>12</v>
      </c>
      <c r="C28">
        <v>0.0489</v>
      </c>
      <c r="D28">
        <v>3</v>
      </c>
      <c r="E28" s="1" t="s">
        <v>67</v>
      </c>
      <c r="F28">
        <f t="shared" si="0"/>
        <v>451</v>
      </c>
      <c r="G28">
        <f t="shared" si="1"/>
        <v>35</v>
      </c>
      <c r="H28" s="1">
        <f t="shared" si="2"/>
        <v>0.000100617283950617</v>
      </c>
      <c r="T28" t="s">
        <v>68</v>
      </c>
      <c r="U28">
        <v>3</v>
      </c>
    </row>
    <row r="29" spans="1:21">
      <c r="A29" t="s">
        <v>69</v>
      </c>
      <c r="B29" t="s">
        <v>12</v>
      </c>
      <c r="C29">
        <v>108.045848</v>
      </c>
      <c r="D29">
        <v>119</v>
      </c>
      <c r="E29" s="1" t="s">
        <v>69</v>
      </c>
      <c r="F29">
        <f t="shared" si="0"/>
        <v>119</v>
      </c>
      <c r="G29">
        <f t="shared" si="1"/>
        <v>86</v>
      </c>
      <c r="H29" s="1">
        <f t="shared" si="2"/>
        <v>0.527052917073171</v>
      </c>
      <c r="T29" t="s">
        <v>70</v>
      </c>
      <c r="U29">
        <v>46</v>
      </c>
    </row>
    <row r="30" spans="1:21">
      <c r="A30" t="s">
        <v>71</v>
      </c>
      <c r="B30" t="s">
        <v>9</v>
      </c>
      <c r="C30">
        <v>340.289914</v>
      </c>
      <c r="D30">
        <v>180</v>
      </c>
      <c r="E30" s="1" t="s">
        <v>71</v>
      </c>
      <c r="F30">
        <f t="shared" si="0"/>
        <v>180</v>
      </c>
      <c r="G30">
        <f t="shared" si="1"/>
        <v>12</v>
      </c>
      <c r="H30" s="1">
        <f t="shared" si="2"/>
        <v>1.77234330208333</v>
      </c>
      <c r="T30" t="s">
        <v>72</v>
      </c>
      <c r="U30">
        <v>17</v>
      </c>
    </row>
    <row r="31" spans="1:21">
      <c r="A31" t="s">
        <v>73</v>
      </c>
      <c r="B31" t="s">
        <v>12</v>
      </c>
      <c r="C31">
        <v>95.649061</v>
      </c>
      <c r="D31">
        <v>174</v>
      </c>
      <c r="E31" s="1" t="s">
        <v>73</v>
      </c>
      <c r="F31">
        <f t="shared" si="0"/>
        <v>174</v>
      </c>
      <c r="G31">
        <f t="shared" si="1"/>
        <v>30</v>
      </c>
      <c r="H31" s="1">
        <f t="shared" si="2"/>
        <v>0.468867946078431</v>
      </c>
      <c r="T31" t="s">
        <v>74</v>
      </c>
      <c r="U31">
        <v>46</v>
      </c>
    </row>
    <row r="32" spans="1:21">
      <c r="A32" t="s">
        <v>75</v>
      </c>
      <c r="B32" t="s">
        <v>12</v>
      </c>
      <c r="C32">
        <v>100.495075</v>
      </c>
      <c r="D32">
        <v>102</v>
      </c>
      <c r="E32" s="1" t="s">
        <v>75</v>
      </c>
      <c r="F32">
        <f t="shared" si="0"/>
        <v>102</v>
      </c>
      <c r="G32">
        <f t="shared" si="1"/>
        <v>241</v>
      </c>
      <c r="H32" s="1">
        <f t="shared" si="2"/>
        <v>0.292988556851312</v>
      </c>
      <c r="T32" t="s">
        <v>76</v>
      </c>
      <c r="U32">
        <v>15</v>
      </c>
    </row>
    <row r="33" spans="1:21">
      <c r="A33" t="s">
        <v>77</v>
      </c>
      <c r="B33" t="s">
        <v>9</v>
      </c>
      <c r="C33">
        <v>140.523455</v>
      </c>
      <c r="D33">
        <v>99</v>
      </c>
      <c r="E33" s="1" t="s">
        <v>77</v>
      </c>
      <c r="F33">
        <f t="shared" si="0"/>
        <v>99</v>
      </c>
      <c r="G33">
        <f t="shared" si="1"/>
        <v>19</v>
      </c>
      <c r="H33" s="1">
        <f t="shared" si="2"/>
        <v>1.19087673728814</v>
      </c>
      <c r="T33" t="s">
        <v>78</v>
      </c>
      <c r="U33">
        <v>22</v>
      </c>
    </row>
    <row r="34" spans="1:21">
      <c r="A34" t="s">
        <v>79</v>
      </c>
      <c r="B34" t="s">
        <v>12</v>
      </c>
      <c r="C34">
        <v>103.584655</v>
      </c>
      <c r="D34">
        <v>78</v>
      </c>
      <c r="E34" s="1" t="s">
        <v>79</v>
      </c>
      <c r="F34">
        <f t="shared" si="0"/>
        <v>78</v>
      </c>
      <c r="G34">
        <f t="shared" si="1"/>
        <v>11</v>
      </c>
      <c r="H34" s="1">
        <f t="shared" si="2"/>
        <v>1.16387252808989</v>
      </c>
      <c r="T34" t="s">
        <v>80</v>
      </c>
      <c r="U34">
        <v>22</v>
      </c>
    </row>
    <row r="35" spans="1:21">
      <c r="A35" t="s">
        <v>81</v>
      </c>
      <c r="B35" t="s">
        <v>12</v>
      </c>
      <c r="C35">
        <v>110.168564</v>
      </c>
      <c r="D35">
        <v>79</v>
      </c>
      <c r="E35" s="1" t="s">
        <v>81</v>
      </c>
      <c r="F35">
        <f t="shared" si="0"/>
        <v>79</v>
      </c>
      <c r="G35">
        <f t="shared" si="1"/>
        <v>11</v>
      </c>
      <c r="H35" s="1">
        <f t="shared" si="2"/>
        <v>1.22409515555556</v>
      </c>
      <c r="T35" t="s">
        <v>82</v>
      </c>
      <c r="U35">
        <v>32</v>
      </c>
    </row>
    <row r="36" spans="1:21">
      <c r="A36" t="s">
        <v>83</v>
      </c>
      <c r="B36" t="s">
        <v>12</v>
      </c>
      <c r="C36">
        <v>296.882364</v>
      </c>
      <c r="D36">
        <v>273</v>
      </c>
      <c r="E36" s="1" t="s">
        <v>83</v>
      </c>
      <c r="F36">
        <f t="shared" si="0"/>
        <v>273</v>
      </c>
      <c r="G36">
        <f t="shared" si="1"/>
        <v>48</v>
      </c>
      <c r="H36" s="1">
        <f t="shared" si="2"/>
        <v>0.924867177570093</v>
      </c>
      <c r="T36" t="s">
        <v>84</v>
      </c>
      <c r="U36">
        <v>5</v>
      </c>
    </row>
    <row r="37" spans="1:21">
      <c r="A37" t="s">
        <v>85</v>
      </c>
      <c r="B37" t="s">
        <v>12</v>
      </c>
      <c r="C37">
        <v>140.963571</v>
      </c>
      <c r="D37">
        <v>244</v>
      </c>
      <c r="E37" s="1" t="s">
        <v>85</v>
      </c>
      <c r="F37">
        <f t="shared" si="0"/>
        <v>244</v>
      </c>
      <c r="G37">
        <f t="shared" si="1"/>
        <v>43</v>
      </c>
      <c r="H37" s="1">
        <f t="shared" si="2"/>
        <v>0.491162268292683</v>
      </c>
      <c r="T37" t="s">
        <v>86</v>
      </c>
      <c r="U37">
        <v>16</v>
      </c>
    </row>
    <row r="38" spans="1:21">
      <c r="A38" t="s">
        <v>87</v>
      </c>
      <c r="B38" t="s">
        <v>9</v>
      </c>
      <c r="C38">
        <v>0.0165</v>
      </c>
      <c r="D38">
        <v>1</v>
      </c>
      <c r="E38" s="1" t="s">
        <v>88</v>
      </c>
      <c r="F38">
        <f t="shared" si="0"/>
        <v>58</v>
      </c>
      <c r="G38">
        <f t="shared" si="1"/>
        <v>52</v>
      </c>
      <c r="H38" s="1">
        <f t="shared" si="2"/>
        <v>0.00015</v>
      </c>
      <c r="T38" t="s">
        <v>89</v>
      </c>
      <c r="U38">
        <v>81</v>
      </c>
    </row>
    <row r="39" spans="1:21">
      <c r="A39" t="s">
        <v>90</v>
      </c>
      <c r="B39" t="s">
        <v>12</v>
      </c>
      <c r="C39">
        <v>20.957433</v>
      </c>
      <c r="D39">
        <v>2</v>
      </c>
      <c r="E39" s="1" t="s">
        <v>90</v>
      </c>
      <c r="F39">
        <f t="shared" si="0"/>
        <v>2</v>
      </c>
      <c r="G39">
        <f t="shared" si="1"/>
        <v>28</v>
      </c>
      <c r="H39" s="1">
        <f t="shared" si="2"/>
        <v>0.6985811</v>
      </c>
      <c r="T39" t="s">
        <v>91</v>
      </c>
      <c r="U39">
        <v>174</v>
      </c>
    </row>
    <row r="40" spans="1:21">
      <c r="A40" t="s">
        <v>92</v>
      </c>
      <c r="B40" t="s">
        <v>12</v>
      </c>
      <c r="C40">
        <v>318.038266</v>
      </c>
      <c r="D40">
        <v>160</v>
      </c>
      <c r="E40" s="1" t="s">
        <v>92</v>
      </c>
      <c r="F40">
        <f t="shared" si="0"/>
        <v>160</v>
      </c>
      <c r="G40">
        <f t="shared" si="1"/>
        <v>38</v>
      </c>
      <c r="H40" s="1">
        <f t="shared" si="2"/>
        <v>1.60625386868687</v>
      </c>
      <c r="T40" t="s">
        <v>22</v>
      </c>
      <c r="U40">
        <v>105</v>
      </c>
    </row>
    <row r="41" spans="1:21">
      <c r="A41" t="s">
        <v>93</v>
      </c>
      <c r="B41" t="s">
        <v>12</v>
      </c>
      <c r="C41">
        <v>156.781803</v>
      </c>
      <c r="D41">
        <v>178</v>
      </c>
      <c r="E41" s="1" t="s">
        <v>93</v>
      </c>
      <c r="F41">
        <f t="shared" si="0"/>
        <v>178</v>
      </c>
      <c r="G41">
        <f t="shared" si="1"/>
        <v>45</v>
      </c>
      <c r="H41" s="1">
        <f t="shared" si="2"/>
        <v>0.703057412556054</v>
      </c>
      <c r="T41" t="s">
        <v>94</v>
      </c>
      <c r="U41">
        <v>77</v>
      </c>
    </row>
    <row r="42" spans="1:21">
      <c r="A42" t="s">
        <v>95</v>
      </c>
      <c r="B42" t="s">
        <v>12</v>
      </c>
      <c r="C42">
        <v>170.202797</v>
      </c>
      <c r="D42">
        <v>406</v>
      </c>
      <c r="E42" s="1" t="s">
        <v>95</v>
      </c>
      <c r="F42">
        <f t="shared" si="0"/>
        <v>406</v>
      </c>
      <c r="G42">
        <f t="shared" si="1"/>
        <v>137</v>
      </c>
      <c r="H42" s="1">
        <f t="shared" si="2"/>
        <v>0.313448981583794</v>
      </c>
      <c r="T42" t="s">
        <v>96</v>
      </c>
      <c r="U42">
        <v>66</v>
      </c>
    </row>
    <row r="43" spans="1:21">
      <c r="A43" t="s">
        <v>97</v>
      </c>
      <c r="B43" t="s">
        <v>12</v>
      </c>
      <c r="C43">
        <v>30.829089</v>
      </c>
      <c r="D43">
        <v>199</v>
      </c>
      <c r="E43" s="1" t="s">
        <v>97</v>
      </c>
      <c r="F43">
        <f t="shared" si="0"/>
        <v>199</v>
      </c>
      <c r="G43">
        <f t="shared" si="1"/>
        <v>109</v>
      </c>
      <c r="H43" s="1">
        <f t="shared" si="2"/>
        <v>0.100094444805195</v>
      </c>
      <c r="T43" t="s">
        <v>55</v>
      </c>
      <c r="U43">
        <v>27</v>
      </c>
    </row>
    <row r="44" spans="1:21">
      <c r="A44" t="s">
        <v>98</v>
      </c>
      <c r="B44" t="s">
        <v>12</v>
      </c>
      <c r="C44">
        <v>0.034</v>
      </c>
      <c r="D44">
        <v>4</v>
      </c>
      <c r="E44" s="1" t="s">
        <v>99</v>
      </c>
      <c r="F44">
        <f t="shared" si="0"/>
        <v>244</v>
      </c>
      <c r="G44">
        <f t="shared" si="1"/>
        <v>22</v>
      </c>
      <c r="H44" s="1">
        <f t="shared" si="2"/>
        <v>0.00012781954887218</v>
      </c>
      <c r="T44" t="s">
        <v>100</v>
      </c>
      <c r="U44">
        <v>132</v>
      </c>
    </row>
    <row r="45" spans="1:21">
      <c r="A45" t="s">
        <v>82</v>
      </c>
      <c r="B45" t="s">
        <v>12</v>
      </c>
      <c r="C45">
        <v>90.445793</v>
      </c>
      <c r="D45">
        <v>152</v>
      </c>
      <c r="E45" s="1" t="s">
        <v>82</v>
      </c>
      <c r="F45">
        <f t="shared" si="0"/>
        <v>152</v>
      </c>
      <c r="G45">
        <f t="shared" si="1"/>
        <v>32</v>
      </c>
      <c r="H45" s="1">
        <f t="shared" si="2"/>
        <v>0.491553222826087</v>
      </c>
      <c r="T45" t="s">
        <v>101</v>
      </c>
      <c r="U45">
        <v>143</v>
      </c>
    </row>
    <row r="46" spans="1:21">
      <c r="A46" t="s">
        <v>102</v>
      </c>
      <c r="B46" t="s">
        <v>12</v>
      </c>
      <c r="C46">
        <v>10.725189</v>
      </c>
      <c r="D46">
        <v>64</v>
      </c>
      <c r="E46" s="1" t="s">
        <v>102</v>
      </c>
      <c r="F46">
        <f t="shared" si="0"/>
        <v>64</v>
      </c>
      <c r="G46">
        <f t="shared" si="1"/>
        <v>20</v>
      </c>
      <c r="H46" s="1">
        <f t="shared" si="2"/>
        <v>0.127680821428571</v>
      </c>
      <c r="T46" t="s">
        <v>103</v>
      </c>
      <c r="U46">
        <v>114</v>
      </c>
    </row>
    <row r="47" spans="1:21">
      <c r="A47" t="s">
        <v>104</v>
      </c>
      <c r="B47" t="s">
        <v>12</v>
      </c>
      <c r="C47">
        <v>38.236469</v>
      </c>
      <c r="D47">
        <v>1</v>
      </c>
      <c r="E47" s="1" t="s">
        <v>104</v>
      </c>
      <c r="F47">
        <f t="shared" si="0"/>
        <v>1</v>
      </c>
      <c r="G47">
        <f t="shared" si="1"/>
        <v>53</v>
      </c>
      <c r="H47" s="1">
        <f t="shared" si="2"/>
        <v>0.708082759259259</v>
      </c>
      <c r="T47" t="s">
        <v>105</v>
      </c>
      <c r="U47">
        <v>44</v>
      </c>
    </row>
    <row r="48" spans="1:21">
      <c r="A48" t="s">
        <v>106</v>
      </c>
      <c r="B48" t="s">
        <v>12</v>
      </c>
      <c r="C48">
        <v>0.1181</v>
      </c>
      <c r="D48">
        <v>9</v>
      </c>
      <c r="E48" s="1" t="s">
        <v>107</v>
      </c>
      <c r="F48">
        <f t="shared" si="0"/>
        <v>140</v>
      </c>
      <c r="G48">
        <f t="shared" si="1"/>
        <v>130</v>
      </c>
      <c r="H48" s="1">
        <f t="shared" si="2"/>
        <v>0.000437407407407407</v>
      </c>
      <c r="T48" t="s">
        <v>108</v>
      </c>
      <c r="U48">
        <v>12</v>
      </c>
    </row>
    <row r="49" spans="1:21">
      <c r="A49" t="s">
        <v>109</v>
      </c>
      <c r="B49" t="s">
        <v>12</v>
      </c>
      <c r="C49">
        <v>0.11425</v>
      </c>
      <c r="D49">
        <v>11</v>
      </c>
      <c r="E49" s="1" t="s">
        <v>110</v>
      </c>
      <c r="F49">
        <f t="shared" si="0"/>
        <v>666</v>
      </c>
      <c r="G49">
        <f t="shared" si="1"/>
        <v>129</v>
      </c>
      <c r="H49" s="1">
        <f t="shared" si="2"/>
        <v>0.000143710691823899</v>
      </c>
      <c r="T49" t="s">
        <v>111</v>
      </c>
      <c r="U49">
        <v>12</v>
      </c>
    </row>
    <row r="50" spans="1:21">
      <c r="A50" t="s">
        <v>112</v>
      </c>
      <c r="B50" t="s">
        <v>12</v>
      </c>
      <c r="C50">
        <v>0.0135</v>
      </c>
      <c r="D50">
        <v>3</v>
      </c>
      <c r="E50" s="1" t="s">
        <v>96</v>
      </c>
      <c r="F50">
        <f t="shared" si="0"/>
        <v>70</v>
      </c>
      <c r="G50">
        <f t="shared" si="1"/>
        <v>66</v>
      </c>
      <c r="H50" s="1">
        <f t="shared" si="2"/>
        <v>9.92647058823529e-5</v>
      </c>
      <c r="T50" t="s">
        <v>113</v>
      </c>
      <c r="U50">
        <v>20</v>
      </c>
    </row>
    <row r="51" spans="1:21">
      <c r="A51" t="s">
        <v>114</v>
      </c>
      <c r="B51" t="s">
        <v>12</v>
      </c>
      <c r="C51">
        <v>0.0705</v>
      </c>
      <c r="D51">
        <v>7</v>
      </c>
      <c r="E51" s="1" t="s">
        <v>115</v>
      </c>
      <c r="F51">
        <f t="shared" si="0"/>
        <v>201</v>
      </c>
      <c r="G51">
        <f t="shared" si="1"/>
        <v>84</v>
      </c>
      <c r="H51" s="1">
        <f t="shared" si="2"/>
        <v>0.000247368421052632</v>
      </c>
      <c r="T51" t="s">
        <v>116</v>
      </c>
      <c r="U51">
        <v>34</v>
      </c>
    </row>
    <row r="52" spans="1:21">
      <c r="A52" t="s">
        <v>117</v>
      </c>
      <c r="B52" t="s">
        <v>12</v>
      </c>
      <c r="C52">
        <v>81.20589</v>
      </c>
      <c r="D52">
        <v>77</v>
      </c>
      <c r="E52" s="1" t="s">
        <v>117</v>
      </c>
      <c r="F52">
        <f t="shared" si="0"/>
        <v>77</v>
      </c>
      <c r="G52">
        <f t="shared" si="1"/>
        <v>155</v>
      </c>
      <c r="H52" s="1">
        <f t="shared" si="2"/>
        <v>0.350025387931034</v>
      </c>
      <c r="T52" t="s">
        <v>118</v>
      </c>
      <c r="U52">
        <v>47</v>
      </c>
    </row>
    <row r="53" spans="1:21">
      <c r="A53" t="s">
        <v>78</v>
      </c>
      <c r="B53" t="s">
        <v>12</v>
      </c>
      <c r="C53">
        <v>352.47565</v>
      </c>
      <c r="D53">
        <v>370</v>
      </c>
      <c r="E53" s="1" t="s">
        <v>78</v>
      </c>
      <c r="F53">
        <f t="shared" si="0"/>
        <v>370</v>
      </c>
      <c r="G53">
        <f t="shared" si="1"/>
        <v>22</v>
      </c>
      <c r="H53" s="1">
        <f t="shared" si="2"/>
        <v>0.899172576530612</v>
      </c>
      <c r="T53" t="s">
        <v>119</v>
      </c>
      <c r="U53">
        <v>123</v>
      </c>
    </row>
    <row r="54" spans="1:21">
      <c r="A54" t="s">
        <v>120</v>
      </c>
      <c r="B54" t="s">
        <v>9</v>
      </c>
      <c r="C54">
        <v>204.282927</v>
      </c>
      <c r="D54">
        <v>110</v>
      </c>
      <c r="E54" s="1" t="s">
        <v>120</v>
      </c>
      <c r="F54">
        <f t="shared" si="0"/>
        <v>110</v>
      </c>
      <c r="G54">
        <f t="shared" si="1"/>
        <v>20</v>
      </c>
      <c r="H54" s="1">
        <f t="shared" si="2"/>
        <v>1.57140713076923</v>
      </c>
      <c r="T54" t="s">
        <v>121</v>
      </c>
      <c r="U54">
        <v>111</v>
      </c>
    </row>
    <row r="55" spans="1:21">
      <c r="A55" t="s">
        <v>122</v>
      </c>
      <c r="B55" t="s">
        <v>9</v>
      </c>
      <c r="C55">
        <v>100.151114</v>
      </c>
      <c r="D55">
        <v>114</v>
      </c>
      <c r="E55" s="1" t="s">
        <v>122</v>
      </c>
      <c r="F55">
        <f t="shared" si="0"/>
        <v>114</v>
      </c>
      <c r="G55">
        <f t="shared" si="1"/>
        <v>20</v>
      </c>
      <c r="H55" s="1">
        <f t="shared" si="2"/>
        <v>0.747396373134328</v>
      </c>
      <c r="T55" t="s">
        <v>31</v>
      </c>
      <c r="U55">
        <v>19</v>
      </c>
    </row>
    <row r="56" spans="1:21">
      <c r="A56" t="s">
        <v>123</v>
      </c>
      <c r="B56" t="s">
        <v>12</v>
      </c>
      <c r="C56">
        <v>174.505231</v>
      </c>
      <c r="D56">
        <v>316</v>
      </c>
      <c r="E56" s="1" t="s">
        <v>123</v>
      </c>
      <c r="F56">
        <f t="shared" si="0"/>
        <v>316</v>
      </c>
      <c r="G56">
        <f t="shared" si="1"/>
        <v>109</v>
      </c>
      <c r="H56" s="1">
        <f t="shared" si="2"/>
        <v>0.410600543529412</v>
      </c>
      <c r="T56" t="s">
        <v>124</v>
      </c>
      <c r="U56">
        <v>47</v>
      </c>
    </row>
    <row r="57" spans="1:21">
      <c r="A57" t="s">
        <v>125</v>
      </c>
      <c r="B57" t="s">
        <v>12</v>
      </c>
      <c r="C57">
        <v>3.559094</v>
      </c>
      <c r="D57">
        <v>1</v>
      </c>
      <c r="E57" s="1" t="s">
        <v>125</v>
      </c>
      <c r="F57">
        <f t="shared" si="0"/>
        <v>1</v>
      </c>
      <c r="G57">
        <f t="shared" si="1"/>
        <v>21</v>
      </c>
      <c r="H57" s="1">
        <f t="shared" si="2"/>
        <v>0.161777</v>
      </c>
      <c r="T57" t="s">
        <v>126</v>
      </c>
      <c r="U57">
        <v>26</v>
      </c>
    </row>
    <row r="58" spans="1:21">
      <c r="A58" t="s">
        <v>127</v>
      </c>
      <c r="B58" t="s">
        <v>12</v>
      </c>
      <c r="C58">
        <v>1.553388</v>
      </c>
      <c r="D58">
        <v>0</v>
      </c>
      <c r="E58" s="1" t="s">
        <v>127</v>
      </c>
      <c r="F58">
        <f t="shared" si="0"/>
        <v>0</v>
      </c>
      <c r="G58">
        <f t="shared" si="1"/>
        <v>21</v>
      </c>
      <c r="H58" s="1">
        <f t="shared" si="2"/>
        <v>0.0739708571428571</v>
      </c>
      <c r="T58" t="s">
        <v>128</v>
      </c>
      <c r="U58">
        <v>16</v>
      </c>
    </row>
    <row r="59" spans="1:21">
      <c r="A59" t="s">
        <v>129</v>
      </c>
      <c r="B59" t="s">
        <v>12</v>
      </c>
      <c r="C59">
        <v>235.098956</v>
      </c>
      <c r="D59">
        <v>196</v>
      </c>
      <c r="E59" s="1" t="s">
        <v>129</v>
      </c>
      <c r="F59">
        <f t="shared" si="0"/>
        <v>196</v>
      </c>
      <c r="G59">
        <f t="shared" si="1"/>
        <v>34</v>
      </c>
      <c r="H59" s="1">
        <f t="shared" si="2"/>
        <v>1.02216937391304</v>
      </c>
      <c r="T59" t="s">
        <v>130</v>
      </c>
      <c r="U59">
        <v>16</v>
      </c>
    </row>
    <row r="60" spans="1:21">
      <c r="A60" t="s">
        <v>131</v>
      </c>
      <c r="B60" t="s">
        <v>12</v>
      </c>
      <c r="C60">
        <v>370.469117</v>
      </c>
      <c r="D60">
        <v>191</v>
      </c>
      <c r="E60" s="1" t="s">
        <v>131</v>
      </c>
      <c r="F60">
        <f t="shared" si="0"/>
        <v>191</v>
      </c>
      <c r="G60">
        <f t="shared" si="1"/>
        <v>33</v>
      </c>
      <c r="H60" s="1">
        <f t="shared" si="2"/>
        <v>1.65387998660714</v>
      </c>
      <c r="T60" t="s">
        <v>132</v>
      </c>
      <c r="U60">
        <v>74</v>
      </c>
    </row>
    <row r="61" spans="1:21">
      <c r="A61" t="s">
        <v>88</v>
      </c>
      <c r="B61" t="s">
        <v>9</v>
      </c>
      <c r="C61">
        <v>100.963378</v>
      </c>
      <c r="D61">
        <v>58</v>
      </c>
      <c r="E61" s="1" t="s">
        <v>88</v>
      </c>
      <c r="F61">
        <f t="shared" si="0"/>
        <v>58</v>
      </c>
      <c r="G61">
        <f t="shared" si="1"/>
        <v>52</v>
      </c>
      <c r="H61" s="1">
        <f t="shared" si="2"/>
        <v>0.917848890909091</v>
      </c>
      <c r="T61" t="s">
        <v>133</v>
      </c>
      <c r="U61">
        <v>62</v>
      </c>
    </row>
    <row r="62" spans="1:21">
      <c r="A62" t="s">
        <v>128</v>
      </c>
      <c r="B62" t="s">
        <v>12</v>
      </c>
      <c r="C62">
        <v>306.74429</v>
      </c>
      <c r="D62">
        <v>255</v>
      </c>
      <c r="E62" s="1" t="s">
        <v>128</v>
      </c>
      <c r="F62">
        <f t="shared" si="0"/>
        <v>255</v>
      </c>
      <c r="G62">
        <f t="shared" si="1"/>
        <v>16</v>
      </c>
      <c r="H62" s="1">
        <f t="shared" si="2"/>
        <v>1.13189774907749</v>
      </c>
      <c r="T62" t="s">
        <v>134</v>
      </c>
      <c r="U62">
        <v>62</v>
      </c>
    </row>
    <row r="63" spans="1:21">
      <c r="A63" t="s">
        <v>130</v>
      </c>
      <c r="B63" t="s">
        <v>12</v>
      </c>
      <c r="C63">
        <v>297.110715</v>
      </c>
      <c r="D63">
        <v>252</v>
      </c>
      <c r="E63" s="1" t="s">
        <v>130</v>
      </c>
      <c r="F63">
        <f t="shared" si="0"/>
        <v>252</v>
      </c>
      <c r="G63">
        <f t="shared" si="1"/>
        <v>16</v>
      </c>
      <c r="H63" s="1">
        <f t="shared" si="2"/>
        <v>1.10862207089552</v>
      </c>
      <c r="T63" t="s">
        <v>135</v>
      </c>
      <c r="U63">
        <v>24</v>
      </c>
    </row>
    <row r="64" spans="1:21">
      <c r="A64" t="s">
        <v>136</v>
      </c>
      <c r="B64" t="s">
        <v>12</v>
      </c>
      <c r="C64">
        <v>107.250412</v>
      </c>
      <c r="D64">
        <v>60</v>
      </c>
      <c r="E64" s="1" t="s">
        <v>136</v>
      </c>
      <c r="F64">
        <f t="shared" si="0"/>
        <v>60</v>
      </c>
      <c r="G64">
        <f t="shared" si="1"/>
        <v>23</v>
      </c>
      <c r="H64" s="1">
        <f t="shared" si="2"/>
        <v>1.29217363855422</v>
      </c>
      <c r="T64" t="s">
        <v>137</v>
      </c>
      <c r="U64">
        <v>183</v>
      </c>
    </row>
    <row r="65" spans="1:21">
      <c r="A65" t="s">
        <v>138</v>
      </c>
      <c r="B65" t="s">
        <v>12</v>
      </c>
      <c r="C65">
        <v>0.899658</v>
      </c>
      <c r="D65">
        <v>3</v>
      </c>
      <c r="E65" s="1" t="s">
        <v>42</v>
      </c>
      <c r="F65">
        <f t="shared" si="0"/>
        <v>210</v>
      </c>
      <c r="G65">
        <f t="shared" si="1"/>
        <v>3</v>
      </c>
      <c r="H65" s="1">
        <f t="shared" si="2"/>
        <v>0.00422374647887324</v>
      </c>
      <c r="T65" t="s">
        <v>139</v>
      </c>
      <c r="U65">
        <v>86</v>
      </c>
    </row>
    <row r="66" spans="1:21">
      <c r="A66" t="s">
        <v>140</v>
      </c>
      <c r="B66" t="s">
        <v>9</v>
      </c>
      <c r="C66">
        <v>153.22093</v>
      </c>
      <c r="D66">
        <v>55</v>
      </c>
      <c r="E66" s="1" t="s">
        <v>140</v>
      </c>
      <c r="F66">
        <f t="shared" si="0"/>
        <v>55</v>
      </c>
      <c r="G66">
        <f t="shared" si="1"/>
        <v>32</v>
      </c>
      <c r="H66" s="1">
        <f t="shared" si="2"/>
        <v>1.76116011494253</v>
      </c>
      <c r="T66" t="s">
        <v>141</v>
      </c>
      <c r="U66">
        <v>253</v>
      </c>
    </row>
    <row r="67" spans="1:21">
      <c r="A67" t="s">
        <v>67</v>
      </c>
      <c r="B67" t="s">
        <v>12</v>
      </c>
      <c r="C67">
        <v>998.424548</v>
      </c>
      <c r="D67">
        <v>451</v>
      </c>
      <c r="E67" s="1" t="s">
        <v>67</v>
      </c>
      <c r="F67">
        <f t="shared" ref="F67:F130" si="3">VLOOKUP(E67,A:D,4,0)</f>
        <v>451</v>
      </c>
      <c r="G67">
        <f t="shared" ref="G67:G130" si="4">VLOOKUP(E67,T:U,2,0)</f>
        <v>35</v>
      </c>
      <c r="H67" s="1">
        <f t="shared" ref="H67:H130" si="5">C67/(F67+G67)</f>
        <v>2.05437149794239</v>
      </c>
      <c r="T67" t="s">
        <v>142</v>
      </c>
      <c r="U67">
        <v>67</v>
      </c>
    </row>
    <row r="68" spans="1:21">
      <c r="A68" t="s">
        <v>74</v>
      </c>
      <c r="B68" t="s">
        <v>12</v>
      </c>
      <c r="C68">
        <v>411.673505</v>
      </c>
      <c r="D68">
        <v>372</v>
      </c>
      <c r="E68" s="1" t="s">
        <v>74</v>
      </c>
      <c r="F68">
        <f t="shared" si="3"/>
        <v>372</v>
      </c>
      <c r="G68">
        <f t="shared" si="4"/>
        <v>46</v>
      </c>
      <c r="H68" s="1">
        <f t="shared" si="5"/>
        <v>0.984864844497608</v>
      </c>
      <c r="T68" t="s">
        <v>75</v>
      </c>
      <c r="U68">
        <v>241</v>
      </c>
    </row>
    <row r="69" spans="1:21">
      <c r="A69" t="s">
        <v>143</v>
      </c>
      <c r="B69" t="s">
        <v>9</v>
      </c>
      <c r="C69">
        <v>111.270451</v>
      </c>
      <c r="D69">
        <v>52</v>
      </c>
      <c r="E69" s="1" t="s">
        <v>143</v>
      </c>
      <c r="F69">
        <f t="shared" si="3"/>
        <v>52</v>
      </c>
      <c r="G69">
        <f t="shared" si="4"/>
        <v>26</v>
      </c>
      <c r="H69" s="1">
        <f t="shared" si="5"/>
        <v>1.42654424358974</v>
      </c>
      <c r="T69" t="s">
        <v>144</v>
      </c>
      <c r="U69">
        <v>53</v>
      </c>
    </row>
    <row r="70" spans="1:21">
      <c r="A70" t="s">
        <v>145</v>
      </c>
      <c r="B70" t="s">
        <v>12</v>
      </c>
      <c r="C70">
        <v>77.957424</v>
      </c>
      <c r="D70">
        <v>248</v>
      </c>
      <c r="E70" s="1" t="s">
        <v>145</v>
      </c>
      <c r="F70">
        <f t="shared" si="3"/>
        <v>248</v>
      </c>
      <c r="G70">
        <f t="shared" si="4"/>
        <v>26</v>
      </c>
      <c r="H70" s="1">
        <f t="shared" si="5"/>
        <v>0.284516145985401</v>
      </c>
      <c r="T70" t="s">
        <v>146</v>
      </c>
      <c r="U70">
        <v>47</v>
      </c>
    </row>
    <row r="71" spans="1:21">
      <c r="A71" t="s">
        <v>80</v>
      </c>
      <c r="B71" t="s">
        <v>12</v>
      </c>
      <c r="C71">
        <v>855.956101</v>
      </c>
      <c r="D71">
        <v>417</v>
      </c>
      <c r="E71" s="1" t="s">
        <v>80</v>
      </c>
      <c r="F71">
        <f t="shared" si="3"/>
        <v>417</v>
      </c>
      <c r="G71">
        <f t="shared" si="4"/>
        <v>22</v>
      </c>
      <c r="H71" s="1">
        <f t="shared" si="5"/>
        <v>1.9497861070615</v>
      </c>
      <c r="T71" t="s">
        <v>147</v>
      </c>
      <c r="U71">
        <v>20</v>
      </c>
    </row>
    <row r="72" spans="1:21">
      <c r="A72" t="s">
        <v>148</v>
      </c>
      <c r="B72" t="s">
        <v>9</v>
      </c>
      <c r="C72">
        <v>345.219097</v>
      </c>
      <c r="D72">
        <v>167</v>
      </c>
      <c r="E72" s="1" t="s">
        <v>148</v>
      </c>
      <c r="F72">
        <f t="shared" si="3"/>
        <v>167</v>
      </c>
      <c r="G72">
        <f t="shared" si="4"/>
        <v>9</v>
      </c>
      <c r="H72" s="1">
        <f t="shared" si="5"/>
        <v>1.96147214204545</v>
      </c>
      <c r="T72" t="s">
        <v>149</v>
      </c>
      <c r="U72">
        <v>12</v>
      </c>
    </row>
    <row r="73" spans="1:21">
      <c r="A73" t="s">
        <v>150</v>
      </c>
      <c r="B73" t="s">
        <v>9</v>
      </c>
      <c r="C73">
        <v>289.072486</v>
      </c>
      <c r="D73">
        <v>124</v>
      </c>
      <c r="E73" s="1" t="s">
        <v>150</v>
      </c>
      <c r="F73">
        <f t="shared" si="3"/>
        <v>124</v>
      </c>
      <c r="G73">
        <f t="shared" si="4"/>
        <v>27</v>
      </c>
      <c r="H73" s="1">
        <f t="shared" si="5"/>
        <v>1.91438732450331</v>
      </c>
      <c r="T73" t="s">
        <v>151</v>
      </c>
      <c r="U73">
        <v>99</v>
      </c>
    </row>
    <row r="74" spans="1:21">
      <c r="A74" t="s">
        <v>152</v>
      </c>
      <c r="B74" t="s">
        <v>12</v>
      </c>
      <c r="C74">
        <v>45.155846</v>
      </c>
      <c r="D74">
        <v>37</v>
      </c>
      <c r="E74" s="1" t="s">
        <v>152</v>
      </c>
      <c r="F74">
        <f t="shared" si="3"/>
        <v>37</v>
      </c>
      <c r="G74">
        <f t="shared" si="4"/>
        <v>109</v>
      </c>
      <c r="H74" s="1">
        <f t="shared" si="5"/>
        <v>0.309286616438356</v>
      </c>
      <c r="T74" t="s">
        <v>153</v>
      </c>
      <c r="U74">
        <v>94</v>
      </c>
    </row>
    <row r="75" spans="1:21">
      <c r="A75" t="s">
        <v>154</v>
      </c>
      <c r="B75" t="s">
        <v>12</v>
      </c>
      <c r="C75">
        <v>276.265405</v>
      </c>
      <c r="D75">
        <v>282</v>
      </c>
      <c r="E75" s="1" t="s">
        <v>154</v>
      </c>
      <c r="F75">
        <f t="shared" si="3"/>
        <v>282</v>
      </c>
      <c r="G75">
        <f t="shared" si="4"/>
        <v>26</v>
      </c>
      <c r="H75" s="1">
        <f t="shared" si="5"/>
        <v>0.896965600649351</v>
      </c>
      <c r="T75" t="s">
        <v>155</v>
      </c>
      <c r="U75">
        <v>4</v>
      </c>
    </row>
    <row r="76" spans="1:21">
      <c r="A76" t="s">
        <v>156</v>
      </c>
      <c r="B76" t="s">
        <v>12</v>
      </c>
      <c r="C76">
        <v>318.178965</v>
      </c>
      <c r="D76">
        <v>212</v>
      </c>
      <c r="E76" s="1" t="s">
        <v>156</v>
      </c>
      <c r="F76">
        <f t="shared" si="3"/>
        <v>212</v>
      </c>
      <c r="G76">
        <f t="shared" si="4"/>
        <v>48</v>
      </c>
      <c r="H76" s="1">
        <f t="shared" si="5"/>
        <v>1.22376525</v>
      </c>
      <c r="T76" t="s">
        <v>157</v>
      </c>
      <c r="U76">
        <v>1</v>
      </c>
    </row>
    <row r="77" spans="1:21">
      <c r="A77" t="s">
        <v>158</v>
      </c>
      <c r="B77" t="s">
        <v>12</v>
      </c>
      <c r="C77">
        <v>128.977856</v>
      </c>
      <c r="D77">
        <v>200</v>
      </c>
      <c r="E77" s="1" t="s">
        <v>158</v>
      </c>
      <c r="F77">
        <f t="shared" si="3"/>
        <v>200</v>
      </c>
      <c r="G77">
        <f t="shared" si="4"/>
        <v>8</v>
      </c>
      <c r="H77" s="1">
        <f t="shared" si="5"/>
        <v>0.620085846153846</v>
      </c>
      <c r="T77" t="s">
        <v>159</v>
      </c>
      <c r="U77">
        <v>34</v>
      </c>
    </row>
    <row r="78" spans="1:21">
      <c r="A78" t="s">
        <v>160</v>
      </c>
      <c r="B78" t="s">
        <v>9</v>
      </c>
      <c r="C78">
        <v>152.740189</v>
      </c>
      <c r="D78">
        <v>87</v>
      </c>
      <c r="E78" s="1" t="s">
        <v>160</v>
      </c>
      <c r="F78">
        <f t="shared" si="3"/>
        <v>87</v>
      </c>
      <c r="G78">
        <f t="shared" si="4"/>
        <v>24</v>
      </c>
      <c r="H78" s="1">
        <f t="shared" si="5"/>
        <v>1.37603773873874</v>
      </c>
      <c r="T78" t="s">
        <v>161</v>
      </c>
      <c r="U78">
        <v>15</v>
      </c>
    </row>
    <row r="79" spans="1:21">
      <c r="A79" t="s">
        <v>162</v>
      </c>
      <c r="B79" t="s">
        <v>12</v>
      </c>
      <c r="C79">
        <v>163.999611</v>
      </c>
      <c r="D79">
        <v>179</v>
      </c>
      <c r="E79" s="1" t="s">
        <v>162</v>
      </c>
      <c r="F79">
        <f t="shared" si="3"/>
        <v>179</v>
      </c>
      <c r="G79">
        <f t="shared" si="4"/>
        <v>30</v>
      </c>
      <c r="H79" s="1">
        <f t="shared" si="5"/>
        <v>0.784687133971292</v>
      </c>
      <c r="T79" t="s">
        <v>163</v>
      </c>
      <c r="U79">
        <v>64</v>
      </c>
    </row>
    <row r="80" spans="1:21">
      <c r="A80" t="s">
        <v>164</v>
      </c>
      <c r="B80" t="s">
        <v>12</v>
      </c>
      <c r="C80">
        <v>359.137837</v>
      </c>
      <c r="D80">
        <v>206</v>
      </c>
      <c r="E80" s="1" t="s">
        <v>164</v>
      </c>
      <c r="F80">
        <f t="shared" si="3"/>
        <v>206</v>
      </c>
      <c r="G80">
        <f t="shared" si="4"/>
        <v>23</v>
      </c>
      <c r="H80" s="1">
        <f t="shared" si="5"/>
        <v>1.56828749781659</v>
      </c>
      <c r="T80" t="s">
        <v>117</v>
      </c>
      <c r="U80">
        <v>155</v>
      </c>
    </row>
    <row r="81" spans="1:21">
      <c r="A81" t="s">
        <v>165</v>
      </c>
      <c r="B81" t="s">
        <v>12</v>
      </c>
      <c r="C81">
        <v>26.531911</v>
      </c>
      <c r="D81">
        <v>70</v>
      </c>
      <c r="E81" s="1" t="s">
        <v>165</v>
      </c>
      <c r="F81">
        <f t="shared" si="3"/>
        <v>70</v>
      </c>
      <c r="G81">
        <f t="shared" si="4"/>
        <v>15</v>
      </c>
      <c r="H81" s="1">
        <f t="shared" si="5"/>
        <v>0.312140129411765</v>
      </c>
      <c r="T81" t="s">
        <v>166</v>
      </c>
      <c r="U81">
        <v>92</v>
      </c>
    </row>
    <row r="82" spans="1:21">
      <c r="A82" t="s">
        <v>167</v>
      </c>
      <c r="B82" t="s">
        <v>12</v>
      </c>
      <c r="C82">
        <v>0.01425</v>
      </c>
      <c r="D82">
        <v>3</v>
      </c>
      <c r="E82" s="1" t="s">
        <v>94</v>
      </c>
      <c r="F82">
        <f t="shared" si="3"/>
        <v>166</v>
      </c>
      <c r="G82">
        <f t="shared" si="4"/>
        <v>77</v>
      </c>
      <c r="H82" s="1">
        <f t="shared" si="5"/>
        <v>5.8641975308642e-5</v>
      </c>
      <c r="T82" t="s">
        <v>168</v>
      </c>
      <c r="U82">
        <v>9</v>
      </c>
    </row>
    <row r="83" spans="1:21">
      <c r="A83" t="s">
        <v>169</v>
      </c>
      <c r="B83" t="s">
        <v>12</v>
      </c>
      <c r="C83">
        <v>365.858639</v>
      </c>
      <c r="D83">
        <v>176</v>
      </c>
      <c r="E83" s="1" t="s">
        <v>169</v>
      </c>
      <c r="F83">
        <f t="shared" si="3"/>
        <v>176</v>
      </c>
      <c r="G83">
        <f t="shared" si="4"/>
        <v>3</v>
      </c>
      <c r="H83" s="1">
        <f t="shared" si="5"/>
        <v>2.04390301117318</v>
      </c>
      <c r="T83" t="s">
        <v>170</v>
      </c>
      <c r="U83">
        <v>4</v>
      </c>
    </row>
    <row r="84" spans="1:21">
      <c r="A84" t="s">
        <v>60</v>
      </c>
      <c r="B84" t="s">
        <v>12</v>
      </c>
      <c r="C84">
        <v>230.472467</v>
      </c>
      <c r="D84">
        <v>230</v>
      </c>
      <c r="E84" s="1" t="s">
        <v>60</v>
      </c>
      <c r="F84">
        <f t="shared" si="3"/>
        <v>230</v>
      </c>
      <c r="G84">
        <f t="shared" si="4"/>
        <v>3</v>
      </c>
      <c r="H84" s="1">
        <f t="shared" si="5"/>
        <v>0.98915221888412</v>
      </c>
      <c r="T84" t="s">
        <v>171</v>
      </c>
      <c r="U84">
        <v>4</v>
      </c>
    </row>
    <row r="85" spans="1:21">
      <c r="A85" t="s">
        <v>172</v>
      </c>
      <c r="B85" t="s">
        <v>12</v>
      </c>
      <c r="C85">
        <v>48.60742</v>
      </c>
      <c r="D85">
        <v>417</v>
      </c>
      <c r="E85" s="1" t="s">
        <v>172</v>
      </c>
      <c r="F85">
        <f t="shared" si="3"/>
        <v>417</v>
      </c>
      <c r="G85">
        <f t="shared" si="4"/>
        <v>74</v>
      </c>
      <c r="H85" s="1">
        <f t="shared" si="5"/>
        <v>0.0989967820773931</v>
      </c>
      <c r="T85" t="s">
        <v>154</v>
      </c>
      <c r="U85">
        <v>26</v>
      </c>
    </row>
    <row r="86" spans="1:21">
      <c r="A86" t="s">
        <v>173</v>
      </c>
      <c r="B86" t="s">
        <v>12</v>
      </c>
      <c r="C86">
        <v>117.723246</v>
      </c>
      <c r="D86">
        <v>161</v>
      </c>
      <c r="E86" s="1" t="s">
        <v>173</v>
      </c>
      <c r="F86">
        <f t="shared" si="3"/>
        <v>161</v>
      </c>
      <c r="G86">
        <f t="shared" si="4"/>
        <v>50</v>
      </c>
      <c r="H86" s="1">
        <f t="shared" si="5"/>
        <v>0.557930075829384</v>
      </c>
      <c r="T86" t="s">
        <v>174</v>
      </c>
      <c r="U86">
        <v>79</v>
      </c>
    </row>
    <row r="87" spans="1:21">
      <c r="A87" t="s">
        <v>58</v>
      </c>
      <c r="B87" t="s">
        <v>12</v>
      </c>
      <c r="C87">
        <v>124.683524</v>
      </c>
      <c r="D87">
        <v>251</v>
      </c>
      <c r="E87" s="1" t="s">
        <v>58</v>
      </c>
      <c r="F87">
        <f t="shared" si="3"/>
        <v>251</v>
      </c>
      <c r="G87">
        <f t="shared" si="4"/>
        <v>17</v>
      </c>
      <c r="H87" s="1">
        <f t="shared" si="5"/>
        <v>0.465237029850746</v>
      </c>
      <c r="T87" t="s">
        <v>175</v>
      </c>
      <c r="U87">
        <v>104</v>
      </c>
    </row>
    <row r="88" spans="1:21">
      <c r="A88" t="s">
        <v>176</v>
      </c>
      <c r="B88" t="s">
        <v>12</v>
      </c>
      <c r="C88">
        <v>701.256441</v>
      </c>
      <c r="D88">
        <v>931</v>
      </c>
      <c r="E88" s="1" t="s">
        <v>176</v>
      </c>
      <c r="F88">
        <f t="shared" si="3"/>
        <v>931</v>
      </c>
      <c r="G88">
        <f t="shared" si="4"/>
        <v>293</v>
      </c>
      <c r="H88" s="1">
        <f t="shared" si="5"/>
        <v>0.572921928921569</v>
      </c>
      <c r="T88" t="s">
        <v>177</v>
      </c>
      <c r="U88">
        <v>34</v>
      </c>
    </row>
    <row r="89" spans="1:21">
      <c r="A89" t="s">
        <v>178</v>
      </c>
      <c r="B89" t="s">
        <v>12</v>
      </c>
      <c r="C89">
        <v>0.032559</v>
      </c>
      <c r="D89">
        <v>3</v>
      </c>
      <c r="E89" s="1" t="s">
        <v>179</v>
      </c>
      <c r="F89">
        <v>0</v>
      </c>
      <c r="G89">
        <v>0</v>
      </c>
      <c r="H89" s="1" t="e">
        <f t="shared" si="5"/>
        <v>#DIV/0!</v>
      </c>
      <c r="T89" t="s">
        <v>180</v>
      </c>
      <c r="U89">
        <v>287</v>
      </c>
    </row>
    <row r="90" spans="1:21">
      <c r="A90" t="s">
        <v>181</v>
      </c>
      <c r="B90" t="s">
        <v>12</v>
      </c>
      <c r="C90">
        <v>0.0815</v>
      </c>
      <c r="D90">
        <v>5</v>
      </c>
      <c r="E90" s="1" t="s">
        <v>169</v>
      </c>
      <c r="F90">
        <f t="shared" si="3"/>
        <v>176</v>
      </c>
      <c r="G90">
        <f t="shared" si="4"/>
        <v>3</v>
      </c>
      <c r="H90" s="1">
        <f t="shared" si="5"/>
        <v>0.000455307262569832</v>
      </c>
      <c r="T90" t="s">
        <v>182</v>
      </c>
      <c r="U90">
        <v>118</v>
      </c>
    </row>
    <row r="91" spans="1:21">
      <c r="A91" t="s">
        <v>56</v>
      </c>
      <c r="B91" t="s">
        <v>12</v>
      </c>
      <c r="C91">
        <v>256.154861</v>
      </c>
      <c r="D91">
        <v>200</v>
      </c>
      <c r="E91" s="1" t="s">
        <v>56</v>
      </c>
      <c r="F91">
        <f t="shared" si="3"/>
        <v>200</v>
      </c>
      <c r="G91">
        <f t="shared" si="4"/>
        <v>37</v>
      </c>
      <c r="H91" s="1">
        <f t="shared" si="5"/>
        <v>1.08082219831224</v>
      </c>
      <c r="T91" t="s">
        <v>183</v>
      </c>
      <c r="U91">
        <v>34</v>
      </c>
    </row>
    <row r="92" spans="1:21">
      <c r="A92" t="s">
        <v>184</v>
      </c>
      <c r="B92" t="s">
        <v>12</v>
      </c>
      <c r="C92">
        <v>0.899658</v>
      </c>
      <c r="D92">
        <v>3</v>
      </c>
      <c r="E92" s="1" t="s">
        <v>185</v>
      </c>
      <c r="F92">
        <f t="shared" si="3"/>
        <v>286</v>
      </c>
      <c r="G92">
        <f t="shared" si="4"/>
        <v>5</v>
      </c>
      <c r="H92" s="1">
        <f t="shared" si="5"/>
        <v>0.00309160824742268</v>
      </c>
      <c r="T92" t="s">
        <v>186</v>
      </c>
      <c r="U92">
        <v>102</v>
      </c>
    </row>
    <row r="93" spans="1:21">
      <c r="A93" t="s">
        <v>108</v>
      </c>
      <c r="B93" t="s">
        <v>12</v>
      </c>
      <c r="C93">
        <v>211.874535</v>
      </c>
      <c r="D93">
        <v>152</v>
      </c>
      <c r="E93" s="1" t="s">
        <v>108</v>
      </c>
      <c r="F93">
        <f t="shared" si="3"/>
        <v>152</v>
      </c>
      <c r="G93">
        <f t="shared" si="4"/>
        <v>12</v>
      </c>
      <c r="H93" s="1">
        <f t="shared" si="5"/>
        <v>1.29191789634146</v>
      </c>
      <c r="T93" t="s">
        <v>187</v>
      </c>
      <c r="U93">
        <v>876</v>
      </c>
    </row>
    <row r="94" spans="1:21">
      <c r="A94" t="s">
        <v>188</v>
      </c>
      <c r="B94" t="s">
        <v>12</v>
      </c>
      <c r="C94">
        <v>44.432506</v>
      </c>
      <c r="D94">
        <v>94</v>
      </c>
      <c r="E94" s="1" t="s">
        <v>188</v>
      </c>
      <c r="F94">
        <f t="shared" si="3"/>
        <v>94</v>
      </c>
      <c r="G94">
        <f t="shared" si="4"/>
        <v>8</v>
      </c>
      <c r="H94" s="1">
        <f t="shared" si="5"/>
        <v>0.435612803921569</v>
      </c>
      <c r="T94" t="s">
        <v>189</v>
      </c>
      <c r="U94">
        <v>10</v>
      </c>
    </row>
    <row r="95" spans="1:21">
      <c r="A95" t="s">
        <v>190</v>
      </c>
      <c r="B95" t="s">
        <v>12</v>
      </c>
      <c r="C95">
        <v>71.580262</v>
      </c>
      <c r="D95">
        <v>239</v>
      </c>
      <c r="E95" s="1" t="s">
        <v>190</v>
      </c>
      <c r="F95">
        <f t="shared" si="3"/>
        <v>239</v>
      </c>
      <c r="G95">
        <f t="shared" si="4"/>
        <v>69</v>
      </c>
      <c r="H95" s="1">
        <f t="shared" si="5"/>
        <v>0.232403448051948</v>
      </c>
      <c r="T95" t="s">
        <v>191</v>
      </c>
      <c r="U95">
        <v>323</v>
      </c>
    </row>
    <row r="96" spans="1:21">
      <c r="A96" t="s">
        <v>53</v>
      </c>
      <c r="B96" t="s">
        <v>12</v>
      </c>
      <c r="C96">
        <v>404.969204</v>
      </c>
      <c r="D96">
        <v>338</v>
      </c>
      <c r="E96" s="1" t="s">
        <v>53</v>
      </c>
      <c r="F96">
        <f t="shared" si="3"/>
        <v>338</v>
      </c>
      <c r="G96">
        <f t="shared" si="4"/>
        <v>58</v>
      </c>
      <c r="H96" s="1">
        <f t="shared" si="5"/>
        <v>1.02264950505051</v>
      </c>
      <c r="T96" t="s">
        <v>192</v>
      </c>
      <c r="U96">
        <v>512</v>
      </c>
    </row>
    <row r="97" spans="1:21">
      <c r="A97" t="s">
        <v>124</v>
      </c>
      <c r="B97" t="s">
        <v>12</v>
      </c>
      <c r="C97">
        <v>502.945264</v>
      </c>
      <c r="D97">
        <v>734</v>
      </c>
      <c r="E97" s="1" t="s">
        <v>124</v>
      </c>
      <c r="F97">
        <f t="shared" si="3"/>
        <v>734</v>
      </c>
      <c r="G97">
        <f t="shared" si="4"/>
        <v>47</v>
      </c>
      <c r="H97" s="1">
        <f t="shared" si="5"/>
        <v>0.643976010243278</v>
      </c>
      <c r="T97" t="s">
        <v>193</v>
      </c>
      <c r="U97">
        <v>7</v>
      </c>
    </row>
    <row r="98" spans="1:21">
      <c r="A98" t="s">
        <v>51</v>
      </c>
      <c r="B98" t="s">
        <v>12</v>
      </c>
      <c r="C98">
        <v>330.128269</v>
      </c>
      <c r="D98">
        <v>283</v>
      </c>
      <c r="E98" s="1" t="s">
        <v>51</v>
      </c>
      <c r="F98">
        <f t="shared" si="3"/>
        <v>283</v>
      </c>
      <c r="G98">
        <f t="shared" si="4"/>
        <v>18</v>
      </c>
      <c r="H98" s="1">
        <f t="shared" si="5"/>
        <v>1.09677165780731</v>
      </c>
      <c r="T98" t="s">
        <v>194</v>
      </c>
      <c r="U98">
        <v>38</v>
      </c>
    </row>
    <row r="99" spans="1:21">
      <c r="A99" t="s">
        <v>49</v>
      </c>
      <c r="B99" t="s">
        <v>12</v>
      </c>
      <c r="C99">
        <v>505.598581</v>
      </c>
      <c r="D99">
        <v>339</v>
      </c>
      <c r="E99" s="1" t="s">
        <v>49</v>
      </c>
      <c r="F99">
        <f t="shared" si="3"/>
        <v>339</v>
      </c>
      <c r="G99">
        <f t="shared" si="4"/>
        <v>20</v>
      </c>
      <c r="H99" s="1">
        <f t="shared" si="5"/>
        <v>1.40835259331476</v>
      </c>
      <c r="T99" t="s">
        <v>195</v>
      </c>
      <c r="U99">
        <v>21</v>
      </c>
    </row>
    <row r="100" spans="1:21">
      <c r="A100" t="s">
        <v>166</v>
      </c>
      <c r="B100" t="s">
        <v>12</v>
      </c>
      <c r="C100">
        <v>516.083473</v>
      </c>
      <c r="D100">
        <v>335</v>
      </c>
      <c r="E100" s="1" t="s">
        <v>166</v>
      </c>
      <c r="F100">
        <f t="shared" si="3"/>
        <v>335</v>
      </c>
      <c r="G100">
        <f t="shared" si="4"/>
        <v>92</v>
      </c>
      <c r="H100" s="1">
        <f t="shared" si="5"/>
        <v>1.20862640046838</v>
      </c>
      <c r="T100" t="s">
        <v>196</v>
      </c>
      <c r="U100">
        <v>8</v>
      </c>
    </row>
    <row r="101" spans="1:21">
      <c r="A101" t="s">
        <v>72</v>
      </c>
      <c r="B101" t="s">
        <v>12</v>
      </c>
      <c r="C101">
        <v>91.496217</v>
      </c>
      <c r="D101">
        <v>126</v>
      </c>
      <c r="E101" s="1" t="s">
        <v>72</v>
      </c>
      <c r="F101">
        <f t="shared" si="3"/>
        <v>126</v>
      </c>
      <c r="G101">
        <f t="shared" si="4"/>
        <v>17</v>
      </c>
      <c r="H101" s="1">
        <f t="shared" si="5"/>
        <v>0.639833685314685</v>
      </c>
      <c r="T101" t="s">
        <v>197</v>
      </c>
      <c r="U101">
        <v>8</v>
      </c>
    </row>
    <row r="102" spans="1:21">
      <c r="A102" t="s">
        <v>70</v>
      </c>
      <c r="B102" t="s">
        <v>12</v>
      </c>
      <c r="C102">
        <v>233.497361</v>
      </c>
      <c r="D102">
        <v>355</v>
      </c>
      <c r="E102" s="1" t="s">
        <v>70</v>
      </c>
      <c r="F102">
        <f t="shared" si="3"/>
        <v>355</v>
      </c>
      <c r="G102">
        <f t="shared" si="4"/>
        <v>46</v>
      </c>
      <c r="H102" s="1">
        <f t="shared" si="5"/>
        <v>0.582287683291771</v>
      </c>
      <c r="T102" t="s">
        <v>198</v>
      </c>
      <c r="U102">
        <v>2</v>
      </c>
    </row>
    <row r="103" spans="1:21">
      <c r="A103" t="s">
        <v>199</v>
      </c>
      <c r="B103" t="s">
        <v>12</v>
      </c>
      <c r="C103">
        <v>238.552948</v>
      </c>
      <c r="D103">
        <v>207</v>
      </c>
      <c r="E103" s="1" t="s">
        <v>199</v>
      </c>
      <c r="F103">
        <f t="shared" si="3"/>
        <v>207</v>
      </c>
      <c r="G103">
        <f t="shared" si="4"/>
        <v>106</v>
      </c>
      <c r="H103" s="1">
        <f t="shared" si="5"/>
        <v>0.762149993610224</v>
      </c>
      <c r="T103" t="s">
        <v>200</v>
      </c>
      <c r="U103">
        <v>54</v>
      </c>
    </row>
    <row r="104" spans="1:21">
      <c r="A104" t="s">
        <v>201</v>
      </c>
      <c r="B104" t="s">
        <v>12</v>
      </c>
      <c r="C104">
        <v>349.792143</v>
      </c>
      <c r="D104">
        <v>266</v>
      </c>
      <c r="E104" s="1" t="s">
        <v>201</v>
      </c>
      <c r="F104">
        <f t="shared" si="3"/>
        <v>266</v>
      </c>
      <c r="G104">
        <f t="shared" si="4"/>
        <v>3</v>
      </c>
      <c r="H104" s="1">
        <f t="shared" si="5"/>
        <v>1.30034253903346</v>
      </c>
      <c r="T104" t="s">
        <v>202</v>
      </c>
      <c r="U104">
        <v>7</v>
      </c>
    </row>
    <row r="105" spans="1:21">
      <c r="A105" t="s">
        <v>203</v>
      </c>
      <c r="B105" t="s">
        <v>12</v>
      </c>
      <c r="C105">
        <v>0.0225</v>
      </c>
      <c r="D105">
        <v>5</v>
      </c>
      <c r="E105" s="1" t="s">
        <v>100</v>
      </c>
      <c r="F105">
        <f t="shared" si="3"/>
        <v>125</v>
      </c>
      <c r="G105">
        <f t="shared" si="4"/>
        <v>132</v>
      </c>
      <c r="H105" s="1">
        <f t="shared" si="5"/>
        <v>8.75486381322957e-5</v>
      </c>
      <c r="T105" t="s">
        <v>204</v>
      </c>
      <c r="U105">
        <v>9</v>
      </c>
    </row>
    <row r="106" spans="1:21">
      <c r="A106" t="s">
        <v>205</v>
      </c>
      <c r="B106" t="s">
        <v>12</v>
      </c>
      <c r="C106">
        <v>867.107365</v>
      </c>
      <c r="D106">
        <v>390</v>
      </c>
      <c r="E106" s="1" t="s">
        <v>205</v>
      </c>
      <c r="F106">
        <f t="shared" si="3"/>
        <v>390</v>
      </c>
      <c r="G106">
        <f t="shared" si="4"/>
        <v>30</v>
      </c>
      <c r="H106" s="1">
        <f t="shared" si="5"/>
        <v>2.0645413452381</v>
      </c>
      <c r="T106" t="s">
        <v>67</v>
      </c>
      <c r="U106">
        <v>35</v>
      </c>
    </row>
    <row r="107" spans="1:21">
      <c r="A107" t="s">
        <v>206</v>
      </c>
      <c r="B107" t="s">
        <v>12</v>
      </c>
      <c r="C107">
        <v>0.08112</v>
      </c>
      <c r="D107">
        <v>3</v>
      </c>
      <c r="E107" s="1" t="s">
        <v>204</v>
      </c>
      <c r="F107">
        <f t="shared" si="3"/>
        <v>398</v>
      </c>
      <c r="G107">
        <f t="shared" si="4"/>
        <v>9</v>
      </c>
      <c r="H107" s="1">
        <f t="shared" si="5"/>
        <v>0.000199312039312039</v>
      </c>
      <c r="T107" t="s">
        <v>169</v>
      </c>
      <c r="U107">
        <v>3</v>
      </c>
    </row>
    <row r="108" spans="1:21">
      <c r="A108" t="s">
        <v>111</v>
      </c>
      <c r="B108" t="s">
        <v>12</v>
      </c>
      <c r="C108">
        <v>155.176032</v>
      </c>
      <c r="D108">
        <v>155</v>
      </c>
      <c r="E108" s="1" t="s">
        <v>111</v>
      </c>
      <c r="F108">
        <f t="shared" si="3"/>
        <v>155</v>
      </c>
      <c r="G108">
        <f t="shared" si="4"/>
        <v>12</v>
      </c>
      <c r="H108" s="1">
        <f t="shared" si="5"/>
        <v>0.929197796407186</v>
      </c>
      <c r="T108" t="s">
        <v>207</v>
      </c>
      <c r="U108">
        <v>44</v>
      </c>
    </row>
    <row r="109" spans="1:21">
      <c r="A109" t="s">
        <v>208</v>
      </c>
      <c r="B109" t="s">
        <v>12</v>
      </c>
      <c r="C109">
        <v>157.033508</v>
      </c>
      <c r="D109">
        <v>75</v>
      </c>
      <c r="E109" s="1" t="s">
        <v>208</v>
      </c>
      <c r="F109">
        <f t="shared" si="3"/>
        <v>75</v>
      </c>
      <c r="G109">
        <f t="shared" si="4"/>
        <v>70</v>
      </c>
      <c r="H109" s="1">
        <f t="shared" si="5"/>
        <v>1.08298971034483</v>
      </c>
      <c r="T109" t="s">
        <v>18</v>
      </c>
      <c r="U109">
        <v>9</v>
      </c>
    </row>
    <row r="110" spans="1:21">
      <c r="A110" t="s">
        <v>68</v>
      </c>
      <c r="B110" t="s">
        <v>12</v>
      </c>
      <c r="C110">
        <v>108.965089</v>
      </c>
      <c r="D110">
        <v>153</v>
      </c>
      <c r="E110" s="1" t="s">
        <v>68</v>
      </c>
      <c r="F110">
        <f t="shared" si="3"/>
        <v>153</v>
      </c>
      <c r="G110">
        <f t="shared" si="4"/>
        <v>3</v>
      </c>
      <c r="H110" s="1">
        <f t="shared" si="5"/>
        <v>0.69849416025641</v>
      </c>
      <c r="T110" t="s">
        <v>209</v>
      </c>
      <c r="U110">
        <v>85</v>
      </c>
    </row>
    <row r="111" spans="1:21">
      <c r="A111" t="s">
        <v>126</v>
      </c>
      <c r="B111" t="s">
        <v>12</v>
      </c>
      <c r="C111">
        <v>182.499756</v>
      </c>
      <c r="D111">
        <v>214</v>
      </c>
      <c r="E111" s="1" t="s">
        <v>126</v>
      </c>
      <c r="F111">
        <f t="shared" si="3"/>
        <v>214</v>
      </c>
      <c r="G111">
        <f t="shared" si="4"/>
        <v>26</v>
      </c>
      <c r="H111" s="1">
        <f t="shared" si="5"/>
        <v>0.76041565</v>
      </c>
      <c r="T111" t="s">
        <v>59</v>
      </c>
      <c r="U111">
        <v>74</v>
      </c>
    </row>
    <row r="112" spans="1:21">
      <c r="A112" t="s">
        <v>210</v>
      </c>
      <c r="B112" t="s">
        <v>12</v>
      </c>
      <c r="C112">
        <v>0.0135</v>
      </c>
      <c r="D112">
        <v>3</v>
      </c>
      <c r="E112" s="1" t="s">
        <v>96</v>
      </c>
      <c r="F112">
        <f t="shared" si="3"/>
        <v>70</v>
      </c>
      <c r="G112">
        <f t="shared" si="4"/>
        <v>66</v>
      </c>
      <c r="H112" s="1">
        <f t="shared" si="5"/>
        <v>9.92647058823529e-5</v>
      </c>
      <c r="T112" t="s">
        <v>211</v>
      </c>
      <c r="U112">
        <v>48</v>
      </c>
    </row>
    <row r="113" spans="1:21">
      <c r="A113" t="s">
        <v>65</v>
      </c>
      <c r="B113" t="s">
        <v>12</v>
      </c>
      <c r="C113">
        <v>282.852464</v>
      </c>
      <c r="D113">
        <v>272</v>
      </c>
      <c r="E113" s="1" t="s">
        <v>65</v>
      </c>
      <c r="F113">
        <f t="shared" si="3"/>
        <v>272</v>
      </c>
      <c r="G113">
        <f t="shared" si="4"/>
        <v>12</v>
      </c>
      <c r="H113" s="1">
        <f t="shared" si="5"/>
        <v>0.99595938028169</v>
      </c>
      <c r="T113" t="s">
        <v>212</v>
      </c>
      <c r="U113">
        <v>29</v>
      </c>
    </row>
    <row r="114" spans="1:21">
      <c r="A114" t="s">
        <v>63</v>
      </c>
      <c r="B114" t="s">
        <v>12</v>
      </c>
      <c r="C114">
        <v>94.516157</v>
      </c>
      <c r="D114">
        <v>143</v>
      </c>
      <c r="E114" s="1" t="s">
        <v>63</v>
      </c>
      <c r="F114">
        <f t="shared" si="3"/>
        <v>143</v>
      </c>
      <c r="G114">
        <f t="shared" si="4"/>
        <v>5</v>
      </c>
      <c r="H114" s="1">
        <f t="shared" si="5"/>
        <v>0.638622682432432</v>
      </c>
      <c r="T114" t="s">
        <v>213</v>
      </c>
      <c r="U114">
        <v>24</v>
      </c>
    </row>
    <row r="115" spans="1:21">
      <c r="A115" t="s">
        <v>115</v>
      </c>
      <c r="B115" t="s">
        <v>12</v>
      </c>
      <c r="C115">
        <v>8.33596</v>
      </c>
      <c r="D115">
        <v>201</v>
      </c>
      <c r="E115" s="1" t="s">
        <v>115</v>
      </c>
      <c r="F115">
        <f t="shared" si="3"/>
        <v>201</v>
      </c>
      <c r="G115">
        <f t="shared" si="4"/>
        <v>84</v>
      </c>
      <c r="H115" s="1">
        <f t="shared" si="5"/>
        <v>0.0292489824561404</v>
      </c>
      <c r="T115" t="s">
        <v>99</v>
      </c>
      <c r="U115">
        <v>22</v>
      </c>
    </row>
    <row r="116" spans="1:21">
      <c r="A116" t="s">
        <v>135</v>
      </c>
      <c r="B116" t="s">
        <v>12</v>
      </c>
      <c r="C116">
        <v>271.750688</v>
      </c>
      <c r="D116">
        <v>332</v>
      </c>
      <c r="E116" s="1" t="s">
        <v>135</v>
      </c>
      <c r="F116">
        <f t="shared" si="3"/>
        <v>332</v>
      </c>
      <c r="G116">
        <f t="shared" si="4"/>
        <v>24</v>
      </c>
      <c r="H116" s="1">
        <f t="shared" si="5"/>
        <v>0.763344629213483</v>
      </c>
      <c r="T116" t="s">
        <v>214</v>
      </c>
      <c r="U116">
        <v>42</v>
      </c>
    </row>
    <row r="117" spans="1:21">
      <c r="A117" t="s">
        <v>133</v>
      </c>
      <c r="B117" t="s">
        <v>12</v>
      </c>
      <c r="C117">
        <v>314.713378</v>
      </c>
      <c r="D117">
        <v>244</v>
      </c>
      <c r="E117" s="1" t="s">
        <v>133</v>
      </c>
      <c r="F117">
        <f t="shared" si="3"/>
        <v>244</v>
      </c>
      <c r="G117">
        <f t="shared" si="4"/>
        <v>62</v>
      </c>
      <c r="H117" s="1">
        <f t="shared" si="5"/>
        <v>1.02847509150327</v>
      </c>
      <c r="T117" t="s">
        <v>215</v>
      </c>
      <c r="U117">
        <v>56</v>
      </c>
    </row>
    <row r="118" spans="1:21">
      <c r="A118" t="s">
        <v>134</v>
      </c>
      <c r="B118" t="s">
        <v>12</v>
      </c>
      <c r="C118">
        <v>307.973839</v>
      </c>
      <c r="D118">
        <v>244</v>
      </c>
      <c r="E118" s="1" t="s">
        <v>134</v>
      </c>
      <c r="F118">
        <f t="shared" si="3"/>
        <v>244</v>
      </c>
      <c r="G118">
        <f t="shared" si="4"/>
        <v>62</v>
      </c>
      <c r="H118" s="1">
        <f t="shared" si="5"/>
        <v>1.00645045424837</v>
      </c>
      <c r="T118" t="s">
        <v>216</v>
      </c>
      <c r="U118">
        <v>2</v>
      </c>
    </row>
    <row r="119" spans="1:21">
      <c r="A119" t="s">
        <v>217</v>
      </c>
      <c r="B119" t="s">
        <v>12</v>
      </c>
      <c r="C119">
        <v>0.027</v>
      </c>
      <c r="D119">
        <v>6</v>
      </c>
      <c r="E119" s="1" t="s">
        <v>94</v>
      </c>
      <c r="F119">
        <f t="shared" si="3"/>
        <v>166</v>
      </c>
      <c r="G119">
        <f t="shared" si="4"/>
        <v>77</v>
      </c>
      <c r="H119" s="1">
        <f t="shared" si="5"/>
        <v>0.000111111111111111</v>
      </c>
      <c r="T119" t="s">
        <v>218</v>
      </c>
      <c r="U119">
        <v>7</v>
      </c>
    </row>
    <row r="120" spans="1:21">
      <c r="A120" t="s">
        <v>219</v>
      </c>
      <c r="B120" t="s">
        <v>12</v>
      </c>
      <c r="C120">
        <v>253.018115</v>
      </c>
      <c r="D120">
        <v>262</v>
      </c>
      <c r="E120" s="1" t="s">
        <v>219</v>
      </c>
      <c r="F120">
        <f t="shared" si="3"/>
        <v>262</v>
      </c>
      <c r="G120">
        <f t="shared" si="4"/>
        <v>4</v>
      </c>
      <c r="H120" s="1">
        <f t="shared" si="5"/>
        <v>0.951195921052632</v>
      </c>
      <c r="T120" t="s">
        <v>220</v>
      </c>
      <c r="U120">
        <v>1</v>
      </c>
    </row>
    <row r="121" spans="1:21">
      <c r="A121" t="s">
        <v>221</v>
      </c>
      <c r="B121" t="s">
        <v>12</v>
      </c>
      <c r="C121">
        <v>0.0225</v>
      </c>
      <c r="D121">
        <v>5</v>
      </c>
      <c r="E121" s="1" t="s">
        <v>55</v>
      </c>
      <c r="F121">
        <f t="shared" si="3"/>
        <v>176</v>
      </c>
      <c r="G121">
        <f t="shared" si="4"/>
        <v>27</v>
      </c>
      <c r="H121" s="1">
        <f t="shared" si="5"/>
        <v>0.000110837438423645</v>
      </c>
      <c r="T121" t="s">
        <v>140</v>
      </c>
      <c r="U121">
        <v>32</v>
      </c>
    </row>
    <row r="122" spans="1:21">
      <c r="A122" t="s">
        <v>222</v>
      </c>
      <c r="B122" t="s">
        <v>12</v>
      </c>
      <c r="C122">
        <v>264.891708</v>
      </c>
      <c r="D122">
        <v>421</v>
      </c>
      <c r="E122" s="1" t="s">
        <v>222</v>
      </c>
      <c r="F122">
        <f t="shared" si="3"/>
        <v>421</v>
      </c>
      <c r="G122">
        <f t="shared" si="4"/>
        <v>49</v>
      </c>
      <c r="H122" s="1">
        <f t="shared" si="5"/>
        <v>0.563599378723404</v>
      </c>
      <c r="T122" t="s">
        <v>223</v>
      </c>
      <c r="U122">
        <v>73</v>
      </c>
    </row>
    <row r="123" spans="1:21">
      <c r="A123" t="s">
        <v>105</v>
      </c>
      <c r="B123" t="s">
        <v>12</v>
      </c>
      <c r="C123">
        <v>698.94724</v>
      </c>
      <c r="D123">
        <v>400</v>
      </c>
      <c r="E123" s="1" t="s">
        <v>105</v>
      </c>
      <c r="F123">
        <f t="shared" si="3"/>
        <v>400</v>
      </c>
      <c r="G123">
        <f t="shared" si="4"/>
        <v>44</v>
      </c>
      <c r="H123" s="1">
        <f t="shared" si="5"/>
        <v>1.5742054954955</v>
      </c>
      <c r="T123" t="s">
        <v>224</v>
      </c>
      <c r="U123">
        <v>3</v>
      </c>
    </row>
    <row r="124" spans="1:21">
      <c r="A124" t="s">
        <v>225</v>
      </c>
      <c r="B124" t="s">
        <v>12</v>
      </c>
      <c r="C124">
        <v>108.662754</v>
      </c>
      <c r="D124">
        <v>266</v>
      </c>
      <c r="E124" s="1" t="s">
        <v>225</v>
      </c>
      <c r="F124">
        <f t="shared" si="3"/>
        <v>266</v>
      </c>
      <c r="G124">
        <f t="shared" si="4"/>
        <v>102</v>
      </c>
      <c r="H124" s="1">
        <f t="shared" si="5"/>
        <v>0.295279222826087</v>
      </c>
      <c r="T124" t="s">
        <v>226</v>
      </c>
      <c r="U124">
        <v>311</v>
      </c>
    </row>
    <row r="125" spans="1:21">
      <c r="A125" t="s">
        <v>227</v>
      </c>
      <c r="B125" t="s">
        <v>12</v>
      </c>
      <c r="C125">
        <v>45.524146</v>
      </c>
      <c r="D125">
        <v>96</v>
      </c>
      <c r="E125" s="1" t="s">
        <v>227</v>
      </c>
      <c r="F125">
        <f t="shared" si="3"/>
        <v>96</v>
      </c>
      <c r="G125">
        <f t="shared" si="4"/>
        <v>13</v>
      </c>
      <c r="H125" s="1">
        <f t="shared" si="5"/>
        <v>0.41765271559633</v>
      </c>
      <c r="T125" t="s">
        <v>228</v>
      </c>
      <c r="U125">
        <v>16</v>
      </c>
    </row>
    <row r="126" spans="1:21">
      <c r="A126" t="s">
        <v>229</v>
      </c>
      <c r="B126" t="s">
        <v>12</v>
      </c>
      <c r="C126">
        <v>17.384059</v>
      </c>
      <c r="D126">
        <v>128</v>
      </c>
      <c r="E126" s="1" t="s">
        <v>229</v>
      </c>
      <c r="F126">
        <f t="shared" si="3"/>
        <v>128</v>
      </c>
      <c r="G126">
        <f t="shared" si="4"/>
        <v>143</v>
      </c>
      <c r="H126" s="1">
        <f t="shared" si="5"/>
        <v>0.0641478191881919</v>
      </c>
      <c r="T126" t="s">
        <v>131</v>
      </c>
      <c r="U126">
        <v>33</v>
      </c>
    </row>
    <row r="127" spans="1:21">
      <c r="A127" t="s">
        <v>230</v>
      </c>
      <c r="B127" t="s">
        <v>12</v>
      </c>
      <c r="C127">
        <v>0.082321</v>
      </c>
      <c r="D127">
        <v>6</v>
      </c>
      <c r="E127" s="1" t="s">
        <v>169</v>
      </c>
      <c r="F127">
        <f t="shared" si="3"/>
        <v>176</v>
      </c>
      <c r="G127">
        <f t="shared" si="4"/>
        <v>3</v>
      </c>
      <c r="H127" s="1">
        <f t="shared" si="5"/>
        <v>0.000459893854748603</v>
      </c>
      <c r="T127" t="s">
        <v>88</v>
      </c>
      <c r="U127">
        <v>52</v>
      </c>
    </row>
    <row r="128" spans="1:21">
      <c r="A128" t="s">
        <v>231</v>
      </c>
      <c r="B128" t="s">
        <v>12</v>
      </c>
      <c r="C128">
        <v>67.7448</v>
      </c>
      <c r="D128">
        <v>125</v>
      </c>
      <c r="E128" s="1" t="s">
        <v>231</v>
      </c>
      <c r="F128">
        <f t="shared" si="3"/>
        <v>125</v>
      </c>
      <c r="G128">
        <f t="shared" si="4"/>
        <v>6</v>
      </c>
      <c r="H128" s="1">
        <f t="shared" si="5"/>
        <v>0.517135877862595</v>
      </c>
      <c r="T128" t="s">
        <v>232</v>
      </c>
      <c r="U128">
        <v>72</v>
      </c>
    </row>
    <row r="129" spans="1:21">
      <c r="A129" t="s">
        <v>119</v>
      </c>
      <c r="B129" t="s">
        <v>12</v>
      </c>
      <c r="C129">
        <v>401.05976</v>
      </c>
      <c r="D129">
        <v>305</v>
      </c>
      <c r="E129" s="1" t="s">
        <v>119</v>
      </c>
      <c r="F129">
        <f t="shared" si="3"/>
        <v>305</v>
      </c>
      <c r="G129">
        <f t="shared" si="4"/>
        <v>123</v>
      </c>
      <c r="H129" s="1">
        <f t="shared" si="5"/>
        <v>0.937055514018692</v>
      </c>
      <c r="T129" t="s">
        <v>233</v>
      </c>
      <c r="U129">
        <v>8</v>
      </c>
    </row>
    <row r="130" spans="1:21">
      <c r="A130" t="s">
        <v>200</v>
      </c>
      <c r="B130" t="s">
        <v>12</v>
      </c>
      <c r="C130">
        <v>218.344152</v>
      </c>
      <c r="D130">
        <v>78</v>
      </c>
      <c r="E130" s="1" t="s">
        <v>200</v>
      </c>
      <c r="F130">
        <f t="shared" si="3"/>
        <v>78</v>
      </c>
      <c r="G130">
        <f t="shared" si="4"/>
        <v>54</v>
      </c>
      <c r="H130" s="1">
        <f t="shared" si="5"/>
        <v>1.65412236363636</v>
      </c>
      <c r="T130" t="s">
        <v>164</v>
      </c>
      <c r="U130">
        <v>23</v>
      </c>
    </row>
    <row r="131" spans="1:21">
      <c r="A131" t="s">
        <v>234</v>
      </c>
      <c r="B131" t="s">
        <v>12</v>
      </c>
      <c r="C131">
        <v>167.676512</v>
      </c>
      <c r="D131">
        <v>285</v>
      </c>
      <c r="E131" s="1" t="s">
        <v>234</v>
      </c>
      <c r="F131">
        <f t="shared" ref="F131:F194" si="6">VLOOKUP(E131,A:D,4,0)</f>
        <v>285</v>
      </c>
      <c r="G131">
        <f t="shared" ref="G131:G194" si="7">VLOOKUP(E131,T:U,2,0)</f>
        <v>118</v>
      </c>
      <c r="H131" s="1">
        <f t="shared" ref="H131:H194" si="8">C131/(F131+G131)</f>
        <v>0.416070749379653</v>
      </c>
      <c r="T131" t="s">
        <v>235</v>
      </c>
      <c r="U131">
        <v>12</v>
      </c>
    </row>
    <row r="132" spans="1:21">
      <c r="A132" t="s">
        <v>236</v>
      </c>
      <c r="B132" t="s">
        <v>12</v>
      </c>
      <c r="C132">
        <v>119.115752</v>
      </c>
      <c r="D132">
        <v>145</v>
      </c>
      <c r="E132" s="1" t="s">
        <v>236</v>
      </c>
      <c r="F132">
        <f t="shared" si="6"/>
        <v>145</v>
      </c>
      <c r="G132">
        <f t="shared" si="7"/>
        <v>37</v>
      </c>
      <c r="H132" s="1">
        <f t="shared" si="8"/>
        <v>0.654482153846154</v>
      </c>
      <c r="T132" t="s">
        <v>152</v>
      </c>
      <c r="U132">
        <v>109</v>
      </c>
    </row>
    <row r="133" spans="1:21">
      <c r="A133" t="s">
        <v>180</v>
      </c>
      <c r="B133" t="s">
        <v>12</v>
      </c>
      <c r="C133">
        <v>88.410159</v>
      </c>
      <c r="D133">
        <v>39</v>
      </c>
      <c r="E133" s="1" t="s">
        <v>180</v>
      </c>
      <c r="F133">
        <f t="shared" si="6"/>
        <v>39</v>
      </c>
      <c r="G133">
        <f t="shared" si="7"/>
        <v>287</v>
      </c>
      <c r="H133" s="1">
        <f t="shared" si="8"/>
        <v>0.271196806748466</v>
      </c>
      <c r="T133" t="s">
        <v>237</v>
      </c>
      <c r="U133">
        <v>10</v>
      </c>
    </row>
    <row r="134" spans="1:21">
      <c r="A134" t="s">
        <v>47</v>
      </c>
      <c r="B134" t="s">
        <v>12</v>
      </c>
      <c r="C134">
        <v>141.301139</v>
      </c>
      <c r="D134">
        <v>307</v>
      </c>
      <c r="E134" s="1" t="s">
        <v>47</v>
      </c>
      <c r="F134">
        <f t="shared" si="6"/>
        <v>307</v>
      </c>
      <c r="G134">
        <f t="shared" si="7"/>
        <v>1</v>
      </c>
      <c r="H134" s="1">
        <f t="shared" si="8"/>
        <v>0.458769931818182</v>
      </c>
      <c r="T134" t="s">
        <v>238</v>
      </c>
      <c r="U134">
        <v>99</v>
      </c>
    </row>
    <row r="135" spans="1:21">
      <c r="A135" t="s">
        <v>89</v>
      </c>
      <c r="B135" t="s">
        <v>12</v>
      </c>
      <c r="C135">
        <v>115.816138</v>
      </c>
      <c r="D135">
        <v>542</v>
      </c>
      <c r="E135" s="1" t="s">
        <v>89</v>
      </c>
      <c r="F135">
        <f t="shared" si="6"/>
        <v>542</v>
      </c>
      <c r="G135">
        <f t="shared" si="7"/>
        <v>81</v>
      </c>
      <c r="H135" s="1">
        <f t="shared" si="8"/>
        <v>0.185900703049759</v>
      </c>
      <c r="T135" t="s">
        <v>239</v>
      </c>
      <c r="U135">
        <v>64</v>
      </c>
    </row>
    <row r="136" spans="1:21">
      <c r="A136" t="s">
        <v>177</v>
      </c>
      <c r="B136" t="s">
        <v>12</v>
      </c>
      <c r="C136">
        <v>61.07588</v>
      </c>
      <c r="D136">
        <v>259</v>
      </c>
      <c r="E136" s="1" t="s">
        <v>177</v>
      </c>
      <c r="F136">
        <f t="shared" si="6"/>
        <v>259</v>
      </c>
      <c r="G136">
        <f t="shared" si="7"/>
        <v>34</v>
      </c>
      <c r="H136" s="1">
        <f t="shared" si="8"/>
        <v>0.208450102389078</v>
      </c>
      <c r="T136" t="s">
        <v>42</v>
      </c>
      <c r="U136">
        <v>3</v>
      </c>
    </row>
    <row r="137" spans="1:21">
      <c r="A137" t="s">
        <v>45</v>
      </c>
      <c r="B137" t="s">
        <v>12</v>
      </c>
      <c r="C137">
        <v>278.212956</v>
      </c>
      <c r="D137">
        <v>277</v>
      </c>
      <c r="E137" s="1" t="s">
        <v>45</v>
      </c>
      <c r="F137">
        <f t="shared" si="6"/>
        <v>277</v>
      </c>
      <c r="G137">
        <f t="shared" si="7"/>
        <v>17</v>
      </c>
      <c r="H137" s="1">
        <f t="shared" si="8"/>
        <v>0.946302571428572</v>
      </c>
      <c r="T137" t="s">
        <v>185</v>
      </c>
      <c r="U137">
        <v>5</v>
      </c>
    </row>
    <row r="138" spans="1:21">
      <c r="A138" t="s">
        <v>240</v>
      </c>
      <c r="B138" t="s">
        <v>12</v>
      </c>
      <c r="C138">
        <v>209.336188</v>
      </c>
      <c r="D138">
        <v>335</v>
      </c>
      <c r="E138" s="1" t="s">
        <v>240</v>
      </c>
      <c r="F138">
        <f t="shared" si="6"/>
        <v>335</v>
      </c>
      <c r="G138">
        <f t="shared" si="7"/>
        <v>52</v>
      </c>
      <c r="H138" s="1">
        <f t="shared" si="8"/>
        <v>0.540920382428941</v>
      </c>
      <c r="T138" t="s">
        <v>62</v>
      </c>
      <c r="U138">
        <v>6</v>
      </c>
    </row>
    <row r="139" spans="1:21">
      <c r="A139" t="s">
        <v>241</v>
      </c>
      <c r="B139" t="s">
        <v>12</v>
      </c>
      <c r="C139">
        <v>116.956677</v>
      </c>
      <c r="D139">
        <v>202</v>
      </c>
      <c r="E139" s="1" t="s">
        <v>241</v>
      </c>
      <c r="F139">
        <f t="shared" si="6"/>
        <v>202</v>
      </c>
      <c r="G139">
        <f t="shared" si="7"/>
        <v>33</v>
      </c>
      <c r="H139" s="1">
        <f t="shared" si="8"/>
        <v>0.497687987234043</v>
      </c>
      <c r="T139" t="s">
        <v>242</v>
      </c>
      <c r="U139">
        <v>6</v>
      </c>
    </row>
    <row r="140" spans="1:21">
      <c r="A140" t="s">
        <v>243</v>
      </c>
      <c r="B140" t="s">
        <v>12</v>
      </c>
      <c r="C140">
        <v>109.590552</v>
      </c>
      <c r="D140">
        <v>174</v>
      </c>
      <c r="E140" s="1" t="s">
        <v>243</v>
      </c>
      <c r="F140">
        <f t="shared" si="6"/>
        <v>174</v>
      </c>
      <c r="G140">
        <f t="shared" si="7"/>
        <v>26</v>
      </c>
      <c r="H140" s="1">
        <f t="shared" si="8"/>
        <v>0.54795276</v>
      </c>
      <c r="T140" t="s">
        <v>244</v>
      </c>
      <c r="U140">
        <v>2</v>
      </c>
    </row>
    <row r="141" spans="1:21">
      <c r="A141" t="s">
        <v>245</v>
      </c>
      <c r="B141" t="s">
        <v>9</v>
      </c>
      <c r="C141">
        <v>47.994817</v>
      </c>
      <c r="D141">
        <v>150</v>
      </c>
      <c r="E141" s="1" t="s">
        <v>245</v>
      </c>
      <c r="F141">
        <f t="shared" si="6"/>
        <v>150</v>
      </c>
      <c r="G141">
        <f t="shared" si="7"/>
        <v>24</v>
      </c>
      <c r="H141" s="1">
        <f t="shared" si="8"/>
        <v>0.275832281609195</v>
      </c>
      <c r="T141" t="s">
        <v>246</v>
      </c>
      <c r="U141">
        <v>2</v>
      </c>
    </row>
    <row r="142" spans="1:21">
      <c r="A142" t="s">
        <v>247</v>
      </c>
      <c r="B142" t="s">
        <v>12</v>
      </c>
      <c r="C142">
        <v>0.04275</v>
      </c>
      <c r="D142">
        <v>5</v>
      </c>
      <c r="E142" s="1" t="s">
        <v>18</v>
      </c>
      <c r="F142">
        <f t="shared" si="6"/>
        <v>209</v>
      </c>
      <c r="G142">
        <f t="shared" si="7"/>
        <v>9</v>
      </c>
      <c r="H142" s="1">
        <f t="shared" si="8"/>
        <v>0.000196100917431193</v>
      </c>
      <c r="T142" t="s">
        <v>248</v>
      </c>
      <c r="U142">
        <v>2</v>
      </c>
    </row>
    <row r="143" spans="1:21">
      <c r="A143" t="s">
        <v>249</v>
      </c>
      <c r="B143" t="s">
        <v>12</v>
      </c>
      <c r="C143">
        <v>274.314482</v>
      </c>
      <c r="D143">
        <v>284</v>
      </c>
      <c r="E143" s="1" t="s">
        <v>249</v>
      </c>
      <c r="F143">
        <f t="shared" si="6"/>
        <v>284</v>
      </c>
      <c r="G143">
        <f t="shared" si="7"/>
        <v>79</v>
      </c>
      <c r="H143" s="1">
        <f t="shared" si="8"/>
        <v>0.755687278236915</v>
      </c>
      <c r="T143" t="s">
        <v>208</v>
      </c>
      <c r="U143">
        <v>70</v>
      </c>
    </row>
    <row r="144" spans="1:21">
      <c r="A144" t="s">
        <v>132</v>
      </c>
      <c r="B144" t="s">
        <v>12</v>
      </c>
      <c r="C144">
        <v>757.814003</v>
      </c>
      <c r="D144">
        <v>421</v>
      </c>
      <c r="E144" s="1" t="s">
        <v>132</v>
      </c>
      <c r="F144">
        <f t="shared" si="6"/>
        <v>421</v>
      </c>
      <c r="G144">
        <f t="shared" si="7"/>
        <v>74</v>
      </c>
      <c r="H144" s="1">
        <f t="shared" si="8"/>
        <v>1.53093737979798</v>
      </c>
      <c r="T144" t="s">
        <v>199</v>
      </c>
      <c r="U144">
        <v>106</v>
      </c>
    </row>
    <row r="145" spans="1:21">
      <c r="A145" t="s">
        <v>250</v>
      </c>
      <c r="B145" t="s">
        <v>12</v>
      </c>
      <c r="C145">
        <v>110.227404</v>
      </c>
      <c r="D145">
        <v>123</v>
      </c>
      <c r="E145" s="1" t="s">
        <v>250</v>
      </c>
      <c r="F145">
        <f t="shared" si="6"/>
        <v>123</v>
      </c>
      <c r="G145">
        <f t="shared" si="7"/>
        <v>12</v>
      </c>
      <c r="H145" s="1">
        <f t="shared" si="8"/>
        <v>0.816499288888889</v>
      </c>
      <c r="T145" t="s">
        <v>136</v>
      </c>
      <c r="U145">
        <v>23</v>
      </c>
    </row>
    <row r="146" spans="1:21">
      <c r="A146" t="s">
        <v>251</v>
      </c>
      <c r="B146" t="s">
        <v>12</v>
      </c>
      <c r="C146">
        <v>0.031122</v>
      </c>
      <c r="D146">
        <v>2</v>
      </c>
      <c r="E146" s="1" t="s">
        <v>67</v>
      </c>
      <c r="F146">
        <f t="shared" si="6"/>
        <v>451</v>
      </c>
      <c r="G146">
        <f t="shared" si="7"/>
        <v>35</v>
      </c>
      <c r="H146" s="1">
        <f t="shared" si="8"/>
        <v>6.4037037037037e-5</v>
      </c>
      <c r="T146" t="s">
        <v>129</v>
      </c>
      <c r="U146">
        <v>34</v>
      </c>
    </row>
    <row r="147" spans="1:21">
      <c r="A147" t="s">
        <v>252</v>
      </c>
      <c r="B147" t="s">
        <v>12</v>
      </c>
      <c r="C147">
        <v>0.134385</v>
      </c>
      <c r="D147">
        <v>10</v>
      </c>
      <c r="E147" s="1" t="s">
        <v>253</v>
      </c>
      <c r="F147">
        <f t="shared" si="6"/>
        <v>28</v>
      </c>
      <c r="G147">
        <f t="shared" si="7"/>
        <v>11</v>
      </c>
      <c r="H147" s="1">
        <f t="shared" si="8"/>
        <v>0.00344576923076923</v>
      </c>
      <c r="T147" t="s">
        <v>254</v>
      </c>
      <c r="U147">
        <v>33</v>
      </c>
    </row>
    <row r="148" spans="1:21">
      <c r="A148" t="s">
        <v>255</v>
      </c>
      <c r="B148" t="s">
        <v>12</v>
      </c>
      <c r="C148">
        <v>115.283093</v>
      </c>
      <c r="D148">
        <v>302</v>
      </c>
      <c r="E148" s="1" t="s">
        <v>255</v>
      </c>
      <c r="F148">
        <f t="shared" si="6"/>
        <v>302</v>
      </c>
      <c r="G148">
        <f t="shared" si="7"/>
        <v>128</v>
      </c>
      <c r="H148" s="1">
        <f t="shared" si="8"/>
        <v>0.26810021627907</v>
      </c>
      <c r="T148" t="s">
        <v>256</v>
      </c>
      <c r="U148">
        <v>13</v>
      </c>
    </row>
    <row r="149" spans="1:21">
      <c r="A149" t="s">
        <v>34</v>
      </c>
      <c r="B149" t="s">
        <v>12</v>
      </c>
      <c r="C149">
        <v>111.066204</v>
      </c>
      <c r="D149">
        <v>489</v>
      </c>
      <c r="E149" s="1" t="s">
        <v>34</v>
      </c>
      <c r="F149">
        <f t="shared" si="6"/>
        <v>489</v>
      </c>
      <c r="G149">
        <f t="shared" si="7"/>
        <v>139</v>
      </c>
      <c r="H149" s="1">
        <f t="shared" si="8"/>
        <v>0.176857012738854</v>
      </c>
      <c r="T149" t="s">
        <v>257</v>
      </c>
      <c r="U149">
        <v>6</v>
      </c>
    </row>
    <row r="150" spans="1:21">
      <c r="A150" t="s">
        <v>258</v>
      </c>
      <c r="B150" t="s">
        <v>12</v>
      </c>
      <c r="C150">
        <v>44.263821</v>
      </c>
      <c r="D150">
        <v>25</v>
      </c>
      <c r="E150" s="1" t="s">
        <v>258</v>
      </c>
      <c r="F150">
        <f t="shared" si="6"/>
        <v>25</v>
      </c>
      <c r="G150">
        <f t="shared" si="7"/>
        <v>21</v>
      </c>
      <c r="H150" s="1">
        <f t="shared" si="8"/>
        <v>0.96225697826087</v>
      </c>
      <c r="T150" t="s">
        <v>259</v>
      </c>
      <c r="U150">
        <v>6</v>
      </c>
    </row>
    <row r="151" spans="1:21">
      <c r="A151" t="s">
        <v>260</v>
      </c>
      <c r="B151" t="s">
        <v>12</v>
      </c>
      <c r="C151">
        <v>75.599651</v>
      </c>
      <c r="D151">
        <v>141</v>
      </c>
      <c r="E151" s="1" t="s">
        <v>260</v>
      </c>
      <c r="F151">
        <f t="shared" si="6"/>
        <v>141</v>
      </c>
      <c r="G151">
        <f t="shared" si="7"/>
        <v>60</v>
      </c>
      <c r="H151" s="1">
        <f t="shared" si="8"/>
        <v>0.376117666666667</v>
      </c>
      <c r="T151" t="s">
        <v>261</v>
      </c>
      <c r="U151">
        <v>25</v>
      </c>
    </row>
    <row r="152" spans="1:21">
      <c r="A152" t="s">
        <v>91</v>
      </c>
      <c r="B152" t="s">
        <v>12</v>
      </c>
      <c r="C152">
        <v>70.640748</v>
      </c>
      <c r="D152">
        <v>197</v>
      </c>
      <c r="E152" s="1" t="s">
        <v>91</v>
      </c>
      <c r="F152">
        <f t="shared" si="6"/>
        <v>197</v>
      </c>
      <c r="G152">
        <f t="shared" si="7"/>
        <v>174</v>
      </c>
      <c r="H152" s="1">
        <f t="shared" si="8"/>
        <v>0.19040632884097</v>
      </c>
      <c r="T152" t="s">
        <v>262</v>
      </c>
      <c r="U152">
        <v>78</v>
      </c>
    </row>
    <row r="153" spans="1:21">
      <c r="A153" t="s">
        <v>86</v>
      </c>
      <c r="B153" t="s">
        <v>12</v>
      </c>
      <c r="C153">
        <v>103.358914</v>
      </c>
      <c r="D153">
        <v>184</v>
      </c>
      <c r="E153" s="1" t="s">
        <v>86</v>
      </c>
      <c r="F153">
        <f t="shared" si="6"/>
        <v>184</v>
      </c>
      <c r="G153">
        <f t="shared" si="7"/>
        <v>16</v>
      </c>
      <c r="H153" s="1">
        <f t="shared" si="8"/>
        <v>0.51679457</v>
      </c>
      <c r="T153" t="s">
        <v>263</v>
      </c>
      <c r="U153">
        <v>87</v>
      </c>
    </row>
    <row r="154" spans="1:21">
      <c r="A154" t="s">
        <v>174</v>
      </c>
      <c r="B154" t="s">
        <v>12</v>
      </c>
      <c r="C154">
        <v>413.61236</v>
      </c>
      <c r="D154">
        <v>455</v>
      </c>
      <c r="E154" s="1" t="s">
        <v>174</v>
      </c>
      <c r="F154">
        <f t="shared" si="6"/>
        <v>455</v>
      </c>
      <c r="G154">
        <f t="shared" si="7"/>
        <v>79</v>
      </c>
      <c r="H154" s="1">
        <f t="shared" si="8"/>
        <v>0.774554981273408</v>
      </c>
      <c r="T154" t="s">
        <v>40</v>
      </c>
      <c r="U154">
        <v>90</v>
      </c>
    </row>
    <row r="155" spans="1:21">
      <c r="A155" t="s">
        <v>264</v>
      </c>
      <c r="B155" t="s">
        <v>12</v>
      </c>
      <c r="C155">
        <v>192.695564</v>
      </c>
      <c r="D155">
        <v>183</v>
      </c>
      <c r="E155" s="1" t="s">
        <v>264</v>
      </c>
      <c r="F155">
        <f t="shared" si="6"/>
        <v>183</v>
      </c>
      <c r="G155">
        <f t="shared" si="7"/>
        <v>12</v>
      </c>
      <c r="H155" s="1">
        <f t="shared" si="8"/>
        <v>0.988182379487179</v>
      </c>
      <c r="T155" t="s">
        <v>57</v>
      </c>
      <c r="U155">
        <v>55</v>
      </c>
    </row>
    <row r="156" spans="1:21">
      <c r="A156" t="s">
        <v>265</v>
      </c>
      <c r="B156" t="s">
        <v>12</v>
      </c>
      <c r="C156">
        <v>239.699855</v>
      </c>
      <c r="D156">
        <v>183</v>
      </c>
      <c r="E156" s="1" t="s">
        <v>265</v>
      </c>
      <c r="F156">
        <f t="shared" si="6"/>
        <v>183</v>
      </c>
      <c r="G156">
        <f t="shared" si="7"/>
        <v>12</v>
      </c>
      <c r="H156" s="1">
        <f t="shared" si="8"/>
        <v>1.22923002564103</v>
      </c>
      <c r="T156" t="s">
        <v>90</v>
      </c>
      <c r="U156">
        <v>28</v>
      </c>
    </row>
    <row r="157" spans="1:21">
      <c r="A157" t="s">
        <v>266</v>
      </c>
      <c r="B157" t="s">
        <v>12</v>
      </c>
      <c r="C157">
        <v>167.54635</v>
      </c>
      <c r="D157">
        <v>183</v>
      </c>
      <c r="E157" s="1" t="s">
        <v>266</v>
      </c>
      <c r="F157">
        <f t="shared" si="6"/>
        <v>183</v>
      </c>
      <c r="G157">
        <f t="shared" si="7"/>
        <v>12</v>
      </c>
      <c r="H157" s="1">
        <f t="shared" si="8"/>
        <v>0.859212051282051</v>
      </c>
      <c r="T157" t="s">
        <v>267</v>
      </c>
      <c r="U157">
        <v>2</v>
      </c>
    </row>
    <row r="158" spans="1:21">
      <c r="A158" t="s">
        <v>268</v>
      </c>
      <c r="B158" t="s">
        <v>12</v>
      </c>
      <c r="C158">
        <v>211.79734</v>
      </c>
      <c r="D158">
        <v>521</v>
      </c>
      <c r="E158" s="1" t="s">
        <v>268</v>
      </c>
      <c r="F158">
        <f t="shared" si="6"/>
        <v>521</v>
      </c>
      <c r="G158">
        <f t="shared" si="7"/>
        <v>81</v>
      </c>
      <c r="H158" s="1">
        <f t="shared" si="8"/>
        <v>0.351822823920266</v>
      </c>
      <c r="T158" t="s">
        <v>104</v>
      </c>
      <c r="U158">
        <v>53</v>
      </c>
    </row>
    <row r="159" spans="1:21">
      <c r="A159" t="s">
        <v>269</v>
      </c>
      <c r="B159" t="s">
        <v>12</v>
      </c>
      <c r="C159">
        <v>411.373179</v>
      </c>
      <c r="D159">
        <v>522</v>
      </c>
      <c r="E159" s="1" t="s">
        <v>269</v>
      </c>
      <c r="F159">
        <f t="shared" si="6"/>
        <v>522</v>
      </c>
      <c r="G159">
        <f t="shared" si="7"/>
        <v>28</v>
      </c>
      <c r="H159" s="1">
        <f t="shared" si="8"/>
        <v>0.747951234545455</v>
      </c>
      <c r="T159" t="s">
        <v>143</v>
      </c>
      <c r="U159">
        <v>26</v>
      </c>
    </row>
    <row r="160" spans="1:21">
      <c r="A160" t="s">
        <v>113</v>
      </c>
      <c r="B160" t="s">
        <v>12</v>
      </c>
      <c r="C160">
        <v>853.88464</v>
      </c>
      <c r="D160">
        <v>305</v>
      </c>
      <c r="E160" s="1" t="s">
        <v>113</v>
      </c>
      <c r="F160">
        <f t="shared" si="6"/>
        <v>305</v>
      </c>
      <c r="G160">
        <f t="shared" si="7"/>
        <v>20</v>
      </c>
      <c r="H160" s="1">
        <f t="shared" si="8"/>
        <v>2.62733735384615</v>
      </c>
      <c r="T160" t="s">
        <v>34</v>
      </c>
      <c r="U160">
        <v>139</v>
      </c>
    </row>
    <row r="161" spans="1:21">
      <c r="A161" t="s">
        <v>270</v>
      </c>
      <c r="B161" t="s">
        <v>12</v>
      </c>
      <c r="C161">
        <v>0.027</v>
      </c>
      <c r="D161">
        <v>6</v>
      </c>
      <c r="E161" s="1" t="s">
        <v>100</v>
      </c>
      <c r="F161">
        <f t="shared" si="6"/>
        <v>125</v>
      </c>
      <c r="G161">
        <f t="shared" si="7"/>
        <v>132</v>
      </c>
      <c r="H161" s="1">
        <f t="shared" si="8"/>
        <v>0.000105058365758755</v>
      </c>
      <c r="T161" t="s">
        <v>255</v>
      </c>
      <c r="U161">
        <v>128</v>
      </c>
    </row>
    <row r="162" spans="1:21">
      <c r="A162" t="s">
        <v>271</v>
      </c>
      <c r="B162" t="s">
        <v>12</v>
      </c>
      <c r="C162">
        <v>0.0855</v>
      </c>
      <c r="D162">
        <v>19</v>
      </c>
      <c r="E162" s="1" t="s">
        <v>94</v>
      </c>
      <c r="F162">
        <f t="shared" si="6"/>
        <v>166</v>
      </c>
      <c r="G162">
        <f t="shared" si="7"/>
        <v>77</v>
      </c>
      <c r="H162" s="1">
        <f t="shared" si="8"/>
        <v>0.000351851851851852</v>
      </c>
      <c r="T162" t="s">
        <v>268</v>
      </c>
      <c r="U162">
        <v>81</v>
      </c>
    </row>
    <row r="163" spans="1:21">
      <c r="A163" t="s">
        <v>272</v>
      </c>
      <c r="B163" t="s">
        <v>9</v>
      </c>
      <c r="C163">
        <v>404.426479</v>
      </c>
      <c r="D163">
        <v>175</v>
      </c>
      <c r="E163" s="1" t="s">
        <v>272</v>
      </c>
      <c r="F163">
        <f t="shared" si="6"/>
        <v>175</v>
      </c>
      <c r="G163">
        <f t="shared" si="7"/>
        <v>9</v>
      </c>
      <c r="H163" s="1">
        <f t="shared" si="8"/>
        <v>2.19796999456522</v>
      </c>
      <c r="T163" t="s">
        <v>27</v>
      </c>
      <c r="U163">
        <v>265</v>
      </c>
    </row>
    <row r="164" spans="1:21">
      <c r="A164" t="s">
        <v>273</v>
      </c>
      <c r="B164" t="s">
        <v>9</v>
      </c>
      <c r="C164">
        <v>164.086549</v>
      </c>
      <c r="D164">
        <v>172</v>
      </c>
      <c r="E164" s="1" t="s">
        <v>273</v>
      </c>
      <c r="F164">
        <f t="shared" si="6"/>
        <v>172</v>
      </c>
      <c r="G164">
        <f t="shared" si="7"/>
        <v>9</v>
      </c>
      <c r="H164" s="1">
        <f t="shared" si="8"/>
        <v>0.906555519337017</v>
      </c>
      <c r="T164" t="s">
        <v>274</v>
      </c>
      <c r="U164">
        <v>17</v>
      </c>
    </row>
    <row r="165" spans="1:21">
      <c r="A165" t="s">
        <v>275</v>
      </c>
      <c r="B165" t="s">
        <v>12</v>
      </c>
      <c r="C165">
        <v>225.726246</v>
      </c>
      <c r="D165">
        <v>182</v>
      </c>
      <c r="E165" s="1" t="s">
        <v>275</v>
      </c>
      <c r="F165">
        <f t="shared" si="6"/>
        <v>182</v>
      </c>
      <c r="G165">
        <f t="shared" si="7"/>
        <v>20</v>
      </c>
      <c r="H165" s="1">
        <f t="shared" si="8"/>
        <v>1.11745666336634</v>
      </c>
      <c r="T165" t="s">
        <v>276</v>
      </c>
      <c r="U165">
        <v>35</v>
      </c>
    </row>
    <row r="166" spans="1:21">
      <c r="A166" t="s">
        <v>277</v>
      </c>
      <c r="B166" t="s">
        <v>12</v>
      </c>
      <c r="C166">
        <v>114.951326</v>
      </c>
      <c r="D166">
        <v>138</v>
      </c>
      <c r="E166" s="1" t="s">
        <v>277</v>
      </c>
      <c r="F166">
        <f t="shared" si="6"/>
        <v>138</v>
      </c>
      <c r="G166">
        <f t="shared" si="7"/>
        <v>17</v>
      </c>
      <c r="H166" s="1">
        <f t="shared" si="8"/>
        <v>0.741621458064516</v>
      </c>
      <c r="T166" t="s">
        <v>278</v>
      </c>
      <c r="U166">
        <v>75</v>
      </c>
    </row>
    <row r="167" spans="1:21">
      <c r="A167" t="s">
        <v>274</v>
      </c>
      <c r="B167" t="s">
        <v>12</v>
      </c>
      <c r="C167">
        <v>415.860656</v>
      </c>
      <c r="D167">
        <v>384</v>
      </c>
      <c r="E167" s="1" t="s">
        <v>274</v>
      </c>
      <c r="F167">
        <f t="shared" si="6"/>
        <v>384</v>
      </c>
      <c r="G167">
        <f t="shared" si="7"/>
        <v>17</v>
      </c>
      <c r="H167" s="1">
        <f t="shared" si="8"/>
        <v>1.0370589925187</v>
      </c>
      <c r="T167" t="s">
        <v>110</v>
      </c>
      <c r="U167">
        <v>129</v>
      </c>
    </row>
    <row r="168" spans="1:21">
      <c r="A168" t="s">
        <v>99</v>
      </c>
      <c r="B168" t="s">
        <v>12</v>
      </c>
      <c r="C168">
        <v>287.454164</v>
      </c>
      <c r="D168">
        <v>244</v>
      </c>
      <c r="E168" s="1" t="s">
        <v>99</v>
      </c>
      <c r="F168">
        <f t="shared" si="6"/>
        <v>244</v>
      </c>
      <c r="G168">
        <f t="shared" si="7"/>
        <v>22</v>
      </c>
      <c r="H168" s="1">
        <f t="shared" si="8"/>
        <v>1.0806547518797</v>
      </c>
      <c r="T168" t="s">
        <v>279</v>
      </c>
      <c r="U168">
        <v>80</v>
      </c>
    </row>
    <row r="169" spans="1:21">
      <c r="A169" t="s">
        <v>214</v>
      </c>
      <c r="B169" t="s">
        <v>12</v>
      </c>
      <c r="C169">
        <v>230.378814</v>
      </c>
      <c r="D169">
        <v>212</v>
      </c>
      <c r="E169" s="1" t="s">
        <v>214</v>
      </c>
      <c r="F169">
        <f t="shared" si="6"/>
        <v>212</v>
      </c>
      <c r="G169">
        <f t="shared" si="7"/>
        <v>42</v>
      </c>
      <c r="H169" s="1">
        <f t="shared" si="8"/>
        <v>0.907003204724409</v>
      </c>
      <c r="T169" t="s">
        <v>280</v>
      </c>
      <c r="U169">
        <v>64</v>
      </c>
    </row>
    <row r="170" spans="1:21">
      <c r="A170" t="s">
        <v>281</v>
      </c>
      <c r="B170" t="s">
        <v>12</v>
      </c>
      <c r="C170">
        <v>47.860868</v>
      </c>
      <c r="D170">
        <v>108</v>
      </c>
      <c r="E170" s="1" t="s">
        <v>281</v>
      </c>
      <c r="F170">
        <f t="shared" si="6"/>
        <v>108</v>
      </c>
      <c r="G170">
        <f t="shared" si="7"/>
        <v>92</v>
      </c>
      <c r="H170" s="1">
        <f t="shared" si="8"/>
        <v>0.23930434</v>
      </c>
      <c r="T170" t="s">
        <v>282</v>
      </c>
      <c r="U170">
        <v>314</v>
      </c>
    </row>
    <row r="171" spans="1:21">
      <c r="A171" t="s">
        <v>283</v>
      </c>
      <c r="B171" t="s">
        <v>12</v>
      </c>
      <c r="C171">
        <v>28.203139</v>
      </c>
      <c r="D171">
        <v>54</v>
      </c>
      <c r="E171" s="1" t="s">
        <v>283</v>
      </c>
      <c r="F171">
        <f t="shared" si="6"/>
        <v>54</v>
      </c>
      <c r="G171">
        <f t="shared" si="7"/>
        <v>13</v>
      </c>
      <c r="H171" s="1">
        <f t="shared" si="8"/>
        <v>0.420942373134328</v>
      </c>
      <c r="T171" t="s">
        <v>284</v>
      </c>
      <c r="U171">
        <v>43</v>
      </c>
    </row>
    <row r="172" spans="1:21">
      <c r="A172" t="s">
        <v>116</v>
      </c>
      <c r="B172" t="s">
        <v>12</v>
      </c>
      <c r="C172">
        <v>167.746055</v>
      </c>
      <c r="D172">
        <v>321</v>
      </c>
      <c r="E172" s="1" t="s">
        <v>116</v>
      </c>
      <c r="F172">
        <f t="shared" si="6"/>
        <v>321</v>
      </c>
      <c r="G172">
        <f t="shared" si="7"/>
        <v>34</v>
      </c>
      <c r="H172" s="1">
        <f t="shared" si="8"/>
        <v>0.472524098591549</v>
      </c>
      <c r="T172" t="s">
        <v>285</v>
      </c>
      <c r="U172">
        <v>90</v>
      </c>
    </row>
    <row r="173" spans="1:21">
      <c r="A173" t="s">
        <v>286</v>
      </c>
      <c r="B173" t="s">
        <v>12</v>
      </c>
      <c r="C173">
        <v>188.623971</v>
      </c>
      <c r="D173">
        <v>289</v>
      </c>
      <c r="E173" s="1" t="s">
        <v>286</v>
      </c>
      <c r="F173">
        <f t="shared" si="6"/>
        <v>289</v>
      </c>
      <c r="G173">
        <f t="shared" si="7"/>
        <v>23</v>
      </c>
      <c r="H173" s="1">
        <f t="shared" si="8"/>
        <v>0.604564009615385</v>
      </c>
      <c r="T173" t="s">
        <v>287</v>
      </c>
      <c r="U173">
        <v>166</v>
      </c>
    </row>
    <row r="174" spans="1:21">
      <c r="A174" t="s">
        <v>288</v>
      </c>
      <c r="B174" t="s">
        <v>12</v>
      </c>
      <c r="C174">
        <v>0.899658</v>
      </c>
      <c r="D174">
        <v>3</v>
      </c>
      <c r="E174" s="1" t="s">
        <v>242</v>
      </c>
      <c r="F174">
        <f t="shared" si="6"/>
        <v>305</v>
      </c>
      <c r="G174">
        <f t="shared" si="7"/>
        <v>6</v>
      </c>
      <c r="H174" s="1">
        <f t="shared" si="8"/>
        <v>0.00289279099678457</v>
      </c>
      <c r="T174" t="s">
        <v>107</v>
      </c>
      <c r="U174">
        <v>130</v>
      </c>
    </row>
    <row r="175" spans="1:21">
      <c r="A175" t="s">
        <v>289</v>
      </c>
      <c r="B175" t="s">
        <v>12</v>
      </c>
      <c r="C175">
        <v>494.153556</v>
      </c>
      <c r="D175">
        <v>478</v>
      </c>
      <c r="E175" s="1" t="s">
        <v>289</v>
      </c>
      <c r="F175">
        <f t="shared" si="6"/>
        <v>478</v>
      </c>
      <c r="G175">
        <f t="shared" si="7"/>
        <v>184</v>
      </c>
      <c r="H175" s="1">
        <f t="shared" si="8"/>
        <v>0.74645552265861</v>
      </c>
      <c r="T175" t="s">
        <v>290</v>
      </c>
      <c r="U175">
        <v>102</v>
      </c>
    </row>
    <row r="176" spans="1:21">
      <c r="A176" t="s">
        <v>276</v>
      </c>
      <c r="B176" t="s">
        <v>12</v>
      </c>
      <c r="C176">
        <v>337.943174</v>
      </c>
      <c r="D176">
        <v>399</v>
      </c>
      <c r="E176" s="1" t="s">
        <v>276</v>
      </c>
      <c r="F176">
        <f t="shared" si="6"/>
        <v>399</v>
      </c>
      <c r="G176">
        <f t="shared" si="7"/>
        <v>35</v>
      </c>
      <c r="H176" s="1">
        <f t="shared" si="8"/>
        <v>0.778670907834101</v>
      </c>
      <c r="T176" t="s">
        <v>29</v>
      </c>
      <c r="U176">
        <v>52</v>
      </c>
    </row>
    <row r="177" spans="1:21">
      <c r="A177" t="s">
        <v>103</v>
      </c>
      <c r="B177" t="s">
        <v>12</v>
      </c>
      <c r="C177">
        <v>946.736253</v>
      </c>
      <c r="D177">
        <v>453</v>
      </c>
      <c r="E177" s="1" t="s">
        <v>103</v>
      </c>
      <c r="F177">
        <f t="shared" si="6"/>
        <v>453</v>
      </c>
      <c r="G177">
        <f t="shared" si="7"/>
        <v>114</v>
      </c>
      <c r="H177" s="1">
        <f t="shared" si="8"/>
        <v>1.66972884126984</v>
      </c>
      <c r="T177" t="s">
        <v>50</v>
      </c>
      <c r="U177">
        <v>58</v>
      </c>
    </row>
    <row r="178" spans="1:21">
      <c r="A178" t="s">
        <v>291</v>
      </c>
      <c r="B178" t="s">
        <v>12</v>
      </c>
      <c r="C178">
        <v>43.570296</v>
      </c>
      <c r="D178">
        <v>352</v>
      </c>
      <c r="E178" s="1" t="s">
        <v>291</v>
      </c>
      <c r="F178">
        <f t="shared" si="6"/>
        <v>352</v>
      </c>
      <c r="G178">
        <f t="shared" si="7"/>
        <v>45</v>
      </c>
      <c r="H178" s="1">
        <f t="shared" si="8"/>
        <v>0.109748856423174</v>
      </c>
      <c r="T178" t="s">
        <v>165</v>
      </c>
      <c r="U178">
        <v>15</v>
      </c>
    </row>
    <row r="179" spans="1:21">
      <c r="A179" t="s">
        <v>292</v>
      </c>
      <c r="B179" t="s">
        <v>12</v>
      </c>
      <c r="C179">
        <v>173.939095</v>
      </c>
      <c r="D179">
        <v>280</v>
      </c>
      <c r="E179" s="1" t="s">
        <v>292</v>
      </c>
      <c r="F179">
        <f t="shared" si="6"/>
        <v>280</v>
      </c>
      <c r="G179">
        <f t="shared" si="7"/>
        <v>20</v>
      </c>
      <c r="H179" s="1">
        <f t="shared" si="8"/>
        <v>0.579796983333333</v>
      </c>
      <c r="T179" t="s">
        <v>188</v>
      </c>
      <c r="U179">
        <v>8</v>
      </c>
    </row>
    <row r="180" spans="1:21">
      <c r="A180" t="s">
        <v>293</v>
      </c>
      <c r="B180" t="s">
        <v>9</v>
      </c>
      <c r="C180">
        <v>170.795355</v>
      </c>
      <c r="D180">
        <v>150</v>
      </c>
      <c r="E180" s="1" t="s">
        <v>293</v>
      </c>
      <c r="F180">
        <f t="shared" si="6"/>
        <v>150</v>
      </c>
      <c r="G180">
        <f t="shared" si="7"/>
        <v>26</v>
      </c>
      <c r="H180" s="1">
        <f t="shared" si="8"/>
        <v>0.970428153409091</v>
      </c>
      <c r="T180" t="s">
        <v>115</v>
      </c>
      <c r="U180">
        <v>84</v>
      </c>
    </row>
    <row r="181" spans="1:21">
      <c r="A181" t="s">
        <v>294</v>
      </c>
      <c r="B181" t="s">
        <v>9</v>
      </c>
      <c r="C181">
        <v>368.238275</v>
      </c>
      <c r="D181">
        <v>151</v>
      </c>
      <c r="E181" s="1" t="s">
        <v>294</v>
      </c>
      <c r="F181">
        <f t="shared" si="6"/>
        <v>151</v>
      </c>
      <c r="G181">
        <f t="shared" si="7"/>
        <v>26</v>
      </c>
      <c r="H181" s="1">
        <f t="shared" si="8"/>
        <v>2.08044223163842</v>
      </c>
      <c r="T181" t="s">
        <v>295</v>
      </c>
      <c r="U181">
        <v>8</v>
      </c>
    </row>
    <row r="182" spans="1:21">
      <c r="A182" t="s">
        <v>30</v>
      </c>
      <c r="B182" t="s">
        <v>12</v>
      </c>
      <c r="C182">
        <v>72.199317</v>
      </c>
      <c r="D182">
        <v>73</v>
      </c>
      <c r="E182" s="1" t="s">
        <v>30</v>
      </c>
      <c r="F182">
        <f t="shared" si="6"/>
        <v>73</v>
      </c>
      <c r="G182">
        <f t="shared" si="7"/>
        <v>36</v>
      </c>
      <c r="H182" s="1">
        <f t="shared" si="8"/>
        <v>0.662379055045871</v>
      </c>
      <c r="T182" t="s">
        <v>296</v>
      </c>
      <c r="U182">
        <v>74</v>
      </c>
    </row>
    <row r="183" spans="1:21">
      <c r="A183" t="s">
        <v>278</v>
      </c>
      <c r="B183" t="s">
        <v>12</v>
      </c>
      <c r="C183">
        <v>90.613908</v>
      </c>
      <c r="D183">
        <v>361</v>
      </c>
      <c r="E183" s="1" t="s">
        <v>278</v>
      </c>
      <c r="F183">
        <f t="shared" si="6"/>
        <v>361</v>
      </c>
      <c r="G183">
        <f t="shared" si="7"/>
        <v>75</v>
      </c>
      <c r="H183" s="1">
        <f t="shared" si="8"/>
        <v>0.207830064220183</v>
      </c>
      <c r="T183" t="s">
        <v>297</v>
      </c>
      <c r="U183">
        <v>237</v>
      </c>
    </row>
    <row r="184" spans="1:21">
      <c r="A184" t="s">
        <v>32</v>
      </c>
      <c r="B184" t="s">
        <v>12</v>
      </c>
      <c r="C184">
        <v>110.585524</v>
      </c>
      <c r="D184">
        <v>130</v>
      </c>
      <c r="E184" s="1" t="s">
        <v>32</v>
      </c>
      <c r="F184">
        <f t="shared" si="6"/>
        <v>130</v>
      </c>
      <c r="G184">
        <f t="shared" si="7"/>
        <v>21</v>
      </c>
      <c r="H184" s="1">
        <f t="shared" si="8"/>
        <v>0.732354463576159</v>
      </c>
      <c r="T184" t="s">
        <v>298</v>
      </c>
      <c r="U184">
        <v>141</v>
      </c>
    </row>
    <row r="185" spans="1:21">
      <c r="A185" t="s">
        <v>35</v>
      </c>
      <c r="B185" t="s">
        <v>12</v>
      </c>
      <c r="C185">
        <v>139.345707</v>
      </c>
      <c r="D185">
        <v>159</v>
      </c>
      <c r="E185" s="1" t="s">
        <v>35</v>
      </c>
      <c r="F185">
        <f t="shared" si="6"/>
        <v>159</v>
      </c>
      <c r="G185">
        <f t="shared" si="7"/>
        <v>37</v>
      </c>
      <c r="H185" s="1">
        <f t="shared" si="8"/>
        <v>0.710947484693878</v>
      </c>
      <c r="T185" t="s">
        <v>299</v>
      </c>
      <c r="U185">
        <v>15</v>
      </c>
    </row>
    <row r="186" spans="1:21">
      <c r="A186" t="s">
        <v>300</v>
      </c>
      <c r="B186" t="s">
        <v>12</v>
      </c>
      <c r="C186">
        <v>389.378423</v>
      </c>
      <c r="D186">
        <v>547</v>
      </c>
      <c r="E186" s="1" t="s">
        <v>300</v>
      </c>
      <c r="F186">
        <f t="shared" si="6"/>
        <v>547</v>
      </c>
      <c r="G186">
        <f t="shared" si="7"/>
        <v>155</v>
      </c>
      <c r="H186" s="1">
        <f t="shared" si="8"/>
        <v>0.554670118233618</v>
      </c>
      <c r="T186" t="s">
        <v>301</v>
      </c>
      <c r="U186">
        <v>12</v>
      </c>
    </row>
    <row r="187" spans="1:21">
      <c r="A187" t="s">
        <v>280</v>
      </c>
      <c r="B187" t="s">
        <v>12</v>
      </c>
      <c r="C187">
        <v>115.313806</v>
      </c>
      <c r="D187">
        <v>572</v>
      </c>
      <c r="E187" s="1" t="s">
        <v>280</v>
      </c>
      <c r="F187">
        <f t="shared" si="6"/>
        <v>572</v>
      </c>
      <c r="G187">
        <f t="shared" si="7"/>
        <v>64</v>
      </c>
      <c r="H187" s="1">
        <f t="shared" si="8"/>
        <v>0.18131101572327</v>
      </c>
      <c r="T187" t="s">
        <v>253</v>
      </c>
      <c r="U187">
        <v>11</v>
      </c>
    </row>
    <row r="188" spans="1:21">
      <c r="A188" t="s">
        <v>25</v>
      </c>
      <c r="B188" t="s">
        <v>12</v>
      </c>
      <c r="C188">
        <v>191.517735</v>
      </c>
      <c r="D188">
        <v>131</v>
      </c>
      <c r="E188" s="1" t="s">
        <v>25</v>
      </c>
      <c r="F188">
        <f t="shared" si="6"/>
        <v>131</v>
      </c>
      <c r="G188">
        <f t="shared" si="7"/>
        <v>11</v>
      </c>
      <c r="H188" s="1">
        <f t="shared" si="8"/>
        <v>1.34871644366197</v>
      </c>
      <c r="T188" t="s">
        <v>145</v>
      </c>
      <c r="U188">
        <v>26</v>
      </c>
    </row>
    <row r="189" spans="1:21">
      <c r="A189" t="s">
        <v>279</v>
      </c>
      <c r="B189" t="s">
        <v>12</v>
      </c>
      <c r="C189">
        <v>181.210277</v>
      </c>
      <c r="D189">
        <v>597</v>
      </c>
      <c r="E189" s="1" t="s">
        <v>279</v>
      </c>
      <c r="F189">
        <f t="shared" si="6"/>
        <v>597</v>
      </c>
      <c r="G189">
        <f t="shared" si="7"/>
        <v>80</v>
      </c>
      <c r="H189" s="1">
        <f t="shared" si="8"/>
        <v>0.267666583456425</v>
      </c>
      <c r="T189" t="s">
        <v>172</v>
      </c>
      <c r="U189">
        <v>74</v>
      </c>
    </row>
    <row r="190" spans="1:21">
      <c r="A190" t="s">
        <v>110</v>
      </c>
      <c r="B190" t="s">
        <v>12</v>
      </c>
      <c r="C190">
        <v>94.468537</v>
      </c>
      <c r="D190">
        <v>666</v>
      </c>
      <c r="E190" s="1" t="s">
        <v>110</v>
      </c>
      <c r="F190">
        <f t="shared" si="6"/>
        <v>666</v>
      </c>
      <c r="G190">
        <f t="shared" si="7"/>
        <v>129</v>
      </c>
      <c r="H190" s="1">
        <f t="shared" si="8"/>
        <v>0.118828348427673</v>
      </c>
      <c r="T190" t="s">
        <v>231</v>
      </c>
      <c r="U190">
        <v>6</v>
      </c>
    </row>
    <row r="191" spans="1:21">
      <c r="A191" t="s">
        <v>212</v>
      </c>
      <c r="B191" t="s">
        <v>12</v>
      </c>
      <c r="C191">
        <v>367.31444</v>
      </c>
      <c r="D191">
        <v>168</v>
      </c>
      <c r="E191" s="1" t="s">
        <v>212</v>
      </c>
      <c r="F191">
        <f t="shared" si="6"/>
        <v>168</v>
      </c>
      <c r="G191">
        <f t="shared" si="7"/>
        <v>29</v>
      </c>
      <c r="H191" s="1">
        <f t="shared" si="8"/>
        <v>1.86454030456853</v>
      </c>
      <c r="T191" t="s">
        <v>291</v>
      </c>
      <c r="U191">
        <v>45</v>
      </c>
    </row>
    <row r="192" spans="1:21">
      <c r="A192" t="s">
        <v>211</v>
      </c>
      <c r="B192" t="s">
        <v>12</v>
      </c>
      <c r="C192">
        <v>260.509051</v>
      </c>
      <c r="D192">
        <v>178</v>
      </c>
      <c r="E192" s="1" t="s">
        <v>211</v>
      </c>
      <c r="F192">
        <f t="shared" si="6"/>
        <v>178</v>
      </c>
      <c r="G192">
        <f t="shared" si="7"/>
        <v>48</v>
      </c>
      <c r="H192" s="1">
        <f t="shared" si="8"/>
        <v>1.1526949159292</v>
      </c>
      <c r="T192" t="s">
        <v>20</v>
      </c>
      <c r="U192">
        <v>216</v>
      </c>
    </row>
    <row r="193" spans="1:21">
      <c r="A193" t="s">
        <v>302</v>
      </c>
      <c r="B193" t="s">
        <v>12</v>
      </c>
      <c r="C193">
        <v>216.494768</v>
      </c>
      <c r="D193">
        <v>515</v>
      </c>
      <c r="E193" s="1" t="s">
        <v>302</v>
      </c>
      <c r="F193">
        <f t="shared" si="6"/>
        <v>515</v>
      </c>
      <c r="G193">
        <f t="shared" si="7"/>
        <v>55</v>
      </c>
      <c r="H193" s="1">
        <f t="shared" si="8"/>
        <v>0.37981538245614</v>
      </c>
      <c r="T193" t="s">
        <v>48</v>
      </c>
      <c r="U193">
        <v>217</v>
      </c>
    </row>
    <row r="194" spans="1:21">
      <c r="A194" t="s">
        <v>28</v>
      </c>
      <c r="B194" t="s">
        <v>12</v>
      </c>
      <c r="C194">
        <v>197.849694</v>
      </c>
      <c r="D194">
        <v>137</v>
      </c>
      <c r="E194" s="1" t="s">
        <v>28</v>
      </c>
      <c r="F194">
        <f t="shared" si="6"/>
        <v>137</v>
      </c>
      <c r="G194">
        <f t="shared" si="7"/>
        <v>6</v>
      </c>
      <c r="H194" s="1">
        <f t="shared" si="8"/>
        <v>1.38356429370629</v>
      </c>
      <c r="T194" t="s">
        <v>303</v>
      </c>
      <c r="U194">
        <v>68</v>
      </c>
    </row>
    <row r="195" spans="1:21">
      <c r="A195" t="s">
        <v>304</v>
      </c>
      <c r="B195" t="s">
        <v>12</v>
      </c>
      <c r="C195">
        <v>131.598062</v>
      </c>
      <c r="D195">
        <v>164</v>
      </c>
      <c r="E195" s="1" t="s">
        <v>304</v>
      </c>
      <c r="F195">
        <f t="shared" ref="F195:F258" si="9">VLOOKUP(E195,A:D,4,0)</f>
        <v>164</v>
      </c>
      <c r="G195">
        <f t="shared" ref="G195:G258" si="10">VLOOKUP(E195,T:U,2,0)</f>
        <v>35</v>
      </c>
      <c r="H195" s="1">
        <f t="shared" ref="H195:H258" si="11">C195/(F195+G195)</f>
        <v>0.661296793969849</v>
      </c>
      <c r="T195" t="s">
        <v>305</v>
      </c>
      <c r="U195">
        <v>18</v>
      </c>
    </row>
    <row r="196" spans="1:21">
      <c r="A196" t="s">
        <v>282</v>
      </c>
      <c r="B196" t="s">
        <v>12</v>
      </c>
      <c r="C196">
        <v>180.999228</v>
      </c>
      <c r="D196">
        <v>853</v>
      </c>
      <c r="E196" s="1" t="s">
        <v>282</v>
      </c>
      <c r="F196">
        <f t="shared" si="9"/>
        <v>853</v>
      </c>
      <c r="G196">
        <f t="shared" si="10"/>
        <v>314</v>
      </c>
      <c r="H196" s="1">
        <f t="shared" si="11"/>
        <v>0.155097881748072</v>
      </c>
      <c r="T196" t="s">
        <v>219</v>
      </c>
      <c r="U196">
        <v>4</v>
      </c>
    </row>
    <row r="197" spans="1:21">
      <c r="A197" t="s">
        <v>306</v>
      </c>
      <c r="B197" t="s">
        <v>12</v>
      </c>
      <c r="C197">
        <v>351.544839</v>
      </c>
      <c r="D197">
        <v>268</v>
      </c>
      <c r="E197" s="1" t="s">
        <v>306</v>
      </c>
      <c r="F197">
        <f t="shared" si="9"/>
        <v>268</v>
      </c>
      <c r="G197">
        <f t="shared" si="10"/>
        <v>15</v>
      </c>
      <c r="H197" s="1">
        <f t="shared" si="11"/>
        <v>1.24220791166078</v>
      </c>
      <c r="T197" t="s">
        <v>307</v>
      </c>
      <c r="U197">
        <v>67</v>
      </c>
    </row>
    <row r="198" spans="1:21">
      <c r="A198" t="s">
        <v>308</v>
      </c>
      <c r="B198" t="s">
        <v>12</v>
      </c>
      <c r="C198">
        <v>347.46776</v>
      </c>
      <c r="D198">
        <v>219</v>
      </c>
      <c r="E198" s="1" t="s">
        <v>308</v>
      </c>
      <c r="F198">
        <f t="shared" si="9"/>
        <v>219</v>
      </c>
      <c r="G198">
        <f t="shared" si="10"/>
        <v>12</v>
      </c>
      <c r="H198" s="1">
        <f t="shared" si="11"/>
        <v>1.50418943722944</v>
      </c>
      <c r="T198" t="s">
        <v>309</v>
      </c>
      <c r="U198">
        <v>134</v>
      </c>
    </row>
    <row r="199" spans="1:21">
      <c r="A199" t="s">
        <v>195</v>
      </c>
      <c r="B199" t="s">
        <v>12</v>
      </c>
      <c r="C199">
        <v>50.021071</v>
      </c>
      <c r="D199">
        <v>162</v>
      </c>
      <c r="E199" s="1" t="s">
        <v>195</v>
      </c>
      <c r="F199">
        <f t="shared" si="9"/>
        <v>162</v>
      </c>
      <c r="G199">
        <f t="shared" si="10"/>
        <v>21</v>
      </c>
      <c r="H199" s="1">
        <f t="shared" si="11"/>
        <v>0.27333918579235</v>
      </c>
      <c r="T199" t="s">
        <v>310</v>
      </c>
      <c r="U199">
        <v>55</v>
      </c>
    </row>
    <row r="200" spans="1:21">
      <c r="A200" t="s">
        <v>194</v>
      </c>
      <c r="B200" t="s">
        <v>12</v>
      </c>
      <c r="C200">
        <v>76.85552</v>
      </c>
      <c r="D200">
        <v>224</v>
      </c>
      <c r="E200" s="1" t="s">
        <v>194</v>
      </c>
      <c r="F200">
        <f t="shared" si="9"/>
        <v>224</v>
      </c>
      <c r="G200">
        <f t="shared" si="10"/>
        <v>38</v>
      </c>
      <c r="H200" s="1">
        <f t="shared" si="11"/>
        <v>0.293341679389313</v>
      </c>
      <c r="T200" t="s">
        <v>83</v>
      </c>
      <c r="U200">
        <v>48</v>
      </c>
    </row>
    <row r="201" spans="1:21">
      <c r="A201" t="s">
        <v>142</v>
      </c>
      <c r="B201" t="s">
        <v>12</v>
      </c>
      <c r="C201">
        <v>13.106407</v>
      </c>
      <c r="D201">
        <v>0</v>
      </c>
      <c r="E201" s="1" t="s">
        <v>142</v>
      </c>
      <c r="F201">
        <f t="shared" si="9"/>
        <v>0</v>
      </c>
      <c r="G201">
        <f t="shared" si="10"/>
        <v>67</v>
      </c>
      <c r="H201" s="1">
        <f t="shared" si="11"/>
        <v>0.195618014925373</v>
      </c>
      <c r="T201" t="s">
        <v>311</v>
      </c>
      <c r="U201">
        <v>233</v>
      </c>
    </row>
    <row r="202" spans="1:21">
      <c r="A202" t="s">
        <v>285</v>
      </c>
      <c r="B202" t="s">
        <v>12</v>
      </c>
      <c r="C202">
        <v>6.524508</v>
      </c>
      <c r="D202">
        <v>345</v>
      </c>
      <c r="E202" s="1" t="s">
        <v>285</v>
      </c>
      <c r="F202">
        <f t="shared" si="9"/>
        <v>345</v>
      </c>
      <c r="G202">
        <f t="shared" si="10"/>
        <v>90</v>
      </c>
      <c r="H202" s="1">
        <f t="shared" si="11"/>
        <v>0.0149988689655172</v>
      </c>
      <c r="T202" t="s">
        <v>123</v>
      </c>
      <c r="U202">
        <v>109</v>
      </c>
    </row>
    <row r="203" spans="1:21">
      <c r="A203" t="s">
        <v>312</v>
      </c>
      <c r="B203" t="s">
        <v>9</v>
      </c>
      <c r="C203">
        <v>0.218973</v>
      </c>
      <c r="D203">
        <v>13</v>
      </c>
      <c r="E203" s="1" t="s">
        <v>311</v>
      </c>
      <c r="F203">
        <f t="shared" si="9"/>
        <v>317</v>
      </c>
      <c r="G203">
        <f t="shared" si="10"/>
        <v>233</v>
      </c>
      <c r="H203" s="1">
        <f t="shared" si="11"/>
        <v>0.000398132727272727</v>
      </c>
      <c r="T203" t="s">
        <v>313</v>
      </c>
      <c r="U203">
        <v>22</v>
      </c>
    </row>
    <row r="204" spans="1:21">
      <c r="A204" t="s">
        <v>192</v>
      </c>
      <c r="B204" t="s">
        <v>12</v>
      </c>
      <c r="C204">
        <v>70.286216</v>
      </c>
      <c r="D204">
        <v>1554</v>
      </c>
      <c r="E204" s="1" t="s">
        <v>192</v>
      </c>
      <c r="F204">
        <f t="shared" si="9"/>
        <v>1554</v>
      </c>
      <c r="G204">
        <f t="shared" si="10"/>
        <v>512</v>
      </c>
      <c r="H204" s="1">
        <f t="shared" si="11"/>
        <v>0.0340204336882865</v>
      </c>
      <c r="T204" t="s">
        <v>156</v>
      </c>
      <c r="U204">
        <v>48</v>
      </c>
    </row>
    <row r="205" spans="1:21">
      <c r="A205" t="s">
        <v>314</v>
      </c>
      <c r="B205" t="s">
        <v>12</v>
      </c>
      <c r="C205">
        <v>195.486574</v>
      </c>
      <c r="D205">
        <v>271</v>
      </c>
      <c r="E205" s="1" t="s">
        <v>314</v>
      </c>
      <c r="F205">
        <f t="shared" si="9"/>
        <v>271</v>
      </c>
      <c r="G205">
        <f t="shared" si="10"/>
        <v>53</v>
      </c>
      <c r="H205" s="1">
        <f t="shared" si="11"/>
        <v>0.60335362345679</v>
      </c>
      <c r="T205" t="s">
        <v>315</v>
      </c>
      <c r="U205">
        <v>11</v>
      </c>
    </row>
    <row r="206" spans="1:21">
      <c r="A206" t="s">
        <v>284</v>
      </c>
      <c r="B206" t="s">
        <v>12</v>
      </c>
      <c r="C206">
        <v>217.368035</v>
      </c>
      <c r="D206">
        <v>389</v>
      </c>
      <c r="E206" s="1" t="s">
        <v>284</v>
      </c>
      <c r="F206">
        <f t="shared" si="9"/>
        <v>389</v>
      </c>
      <c r="G206">
        <f t="shared" si="10"/>
        <v>43</v>
      </c>
      <c r="H206" s="1">
        <f t="shared" si="11"/>
        <v>0.503166747685185</v>
      </c>
      <c r="T206" t="s">
        <v>286</v>
      </c>
      <c r="U206">
        <v>23</v>
      </c>
    </row>
    <row r="207" spans="1:21">
      <c r="A207" t="s">
        <v>316</v>
      </c>
      <c r="B207" t="s">
        <v>12</v>
      </c>
      <c r="C207">
        <v>106.717927</v>
      </c>
      <c r="D207">
        <v>160</v>
      </c>
      <c r="E207" s="1" t="s">
        <v>316</v>
      </c>
      <c r="F207">
        <f t="shared" si="9"/>
        <v>160</v>
      </c>
      <c r="G207">
        <f t="shared" si="10"/>
        <v>64</v>
      </c>
      <c r="H207" s="1">
        <f t="shared" si="11"/>
        <v>0.476419316964286</v>
      </c>
      <c r="T207" t="s">
        <v>317</v>
      </c>
      <c r="U207">
        <v>35</v>
      </c>
    </row>
    <row r="208" spans="1:21">
      <c r="A208" t="s">
        <v>318</v>
      </c>
      <c r="B208" t="s">
        <v>12</v>
      </c>
      <c r="C208">
        <v>226.918072</v>
      </c>
      <c r="D208">
        <v>312</v>
      </c>
      <c r="E208" s="1" t="s">
        <v>318</v>
      </c>
      <c r="F208">
        <f t="shared" si="9"/>
        <v>312</v>
      </c>
      <c r="G208">
        <f t="shared" si="10"/>
        <v>130</v>
      </c>
      <c r="H208" s="1">
        <f t="shared" si="11"/>
        <v>0.513389303167421</v>
      </c>
      <c r="T208" t="s">
        <v>319</v>
      </c>
      <c r="U208">
        <v>21</v>
      </c>
    </row>
    <row r="209" spans="1:21">
      <c r="A209" t="s">
        <v>301</v>
      </c>
      <c r="B209" t="s">
        <v>12</v>
      </c>
      <c r="C209">
        <v>28.385489</v>
      </c>
      <c r="D209">
        <v>107</v>
      </c>
      <c r="E209" s="1" t="s">
        <v>301</v>
      </c>
      <c r="F209">
        <f t="shared" si="9"/>
        <v>107</v>
      </c>
      <c r="G209">
        <f t="shared" si="10"/>
        <v>12</v>
      </c>
      <c r="H209" s="1">
        <f t="shared" si="11"/>
        <v>0.238533521008403</v>
      </c>
      <c r="T209" t="s">
        <v>320</v>
      </c>
      <c r="U209">
        <v>3</v>
      </c>
    </row>
    <row r="210" spans="1:21">
      <c r="A210" t="s">
        <v>321</v>
      </c>
      <c r="B210" t="s">
        <v>12</v>
      </c>
      <c r="C210">
        <v>448.458192</v>
      </c>
      <c r="D210">
        <v>514</v>
      </c>
      <c r="E210" s="1" t="s">
        <v>321</v>
      </c>
      <c r="F210">
        <f t="shared" si="9"/>
        <v>514</v>
      </c>
      <c r="G210">
        <f t="shared" si="10"/>
        <v>68</v>
      </c>
      <c r="H210" s="1">
        <f t="shared" si="11"/>
        <v>0.770546721649485</v>
      </c>
      <c r="T210" t="s">
        <v>322</v>
      </c>
      <c r="U210">
        <v>3</v>
      </c>
    </row>
    <row r="211" spans="1:21">
      <c r="A211" t="s">
        <v>323</v>
      </c>
      <c r="B211" t="s">
        <v>12</v>
      </c>
      <c r="C211">
        <v>3.575096</v>
      </c>
      <c r="D211">
        <v>10</v>
      </c>
      <c r="E211" s="1" t="s">
        <v>166</v>
      </c>
      <c r="F211">
        <f t="shared" si="9"/>
        <v>335</v>
      </c>
      <c r="G211">
        <f t="shared" si="10"/>
        <v>92</v>
      </c>
      <c r="H211" s="1">
        <f t="shared" si="11"/>
        <v>0.00837259016393443</v>
      </c>
      <c r="T211" t="s">
        <v>79</v>
      </c>
      <c r="U211">
        <v>11</v>
      </c>
    </row>
    <row r="212" spans="1:21">
      <c r="A212" t="s">
        <v>324</v>
      </c>
      <c r="B212" t="s">
        <v>12</v>
      </c>
      <c r="C212">
        <v>4.745828</v>
      </c>
      <c r="D212">
        <v>15</v>
      </c>
      <c r="E212" s="1" t="s">
        <v>166</v>
      </c>
      <c r="F212">
        <f t="shared" si="9"/>
        <v>335</v>
      </c>
      <c r="G212">
        <f t="shared" si="10"/>
        <v>92</v>
      </c>
      <c r="H212" s="1">
        <f t="shared" si="11"/>
        <v>0.0111143512880562</v>
      </c>
      <c r="T212" t="s">
        <v>81</v>
      </c>
      <c r="U212">
        <v>11</v>
      </c>
    </row>
    <row r="213" spans="1:21">
      <c r="A213" t="s">
        <v>287</v>
      </c>
      <c r="B213" t="s">
        <v>12</v>
      </c>
      <c r="C213">
        <v>380.453802</v>
      </c>
      <c r="D213">
        <v>454</v>
      </c>
      <c r="E213" s="1" t="s">
        <v>287</v>
      </c>
      <c r="F213">
        <f t="shared" si="9"/>
        <v>454</v>
      </c>
      <c r="G213">
        <f t="shared" si="10"/>
        <v>166</v>
      </c>
      <c r="H213" s="1">
        <f t="shared" si="11"/>
        <v>0.613635164516129</v>
      </c>
      <c r="T213" t="s">
        <v>325</v>
      </c>
      <c r="U213">
        <v>203</v>
      </c>
    </row>
    <row r="214" spans="1:21">
      <c r="A214" t="s">
        <v>326</v>
      </c>
      <c r="B214" t="s">
        <v>12</v>
      </c>
      <c r="C214">
        <v>93.248161</v>
      </c>
      <c r="D214">
        <v>135</v>
      </c>
      <c r="E214" s="1" t="s">
        <v>326</v>
      </c>
      <c r="F214">
        <f t="shared" si="9"/>
        <v>135</v>
      </c>
      <c r="G214">
        <f t="shared" si="10"/>
        <v>31</v>
      </c>
      <c r="H214" s="1">
        <f t="shared" si="11"/>
        <v>0.561735909638554</v>
      </c>
      <c r="T214" t="s">
        <v>11</v>
      </c>
      <c r="U214">
        <v>18</v>
      </c>
    </row>
    <row r="215" spans="1:21">
      <c r="A215" t="s">
        <v>327</v>
      </c>
      <c r="B215" t="s">
        <v>12</v>
      </c>
      <c r="C215">
        <v>0.162885</v>
      </c>
      <c r="D215">
        <v>12</v>
      </c>
      <c r="E215" s="1" t="s">
        <v>67</v>
      </c>
      <c r="F215">
        <f t="shared" si="9"/>
        <v>451</v>
      </c>
      <c r="G215">
        <f t="shared" si="10"/>
        <v>35</v>
      </c>
      <c r="H215" s="1">
        <f t="shared" si="11"/>
        <v>0.000335154320987654</v>
      </c>
      <c r="T215" t="s">
        <v>44</v>
      </c>
      <c r="U215">
        <v>11</v>
      </c>
    </row>
    <row r="216" spans="1:21">
      <c r="A216" t="s">
        <v>62</v>
      </c>
      <c r="B216" t="s">
        <v>12</v>
      </c>
      <c r="C216">
        <v>192.396646</v>
      </c>
      <c r="D216">
        <v>155</v>
      </c>
      <c r="E216" s="1" t="s">
        <v>62</v>
      </c>
      <c r="F216">
        <f t="shared" si="9"/>
        <v>155</v>
      </c>
      <c r="G216">
        <f t="shared" si="10"/>
        <v>6</v>
      </c>
      <c r="H216" s="1">
        <f t="shared" si="11"/>
        <v>1.19501022360248</v>
      </c>
      <c r="T216" t="s">
        <v>328</v>
      </c>
      <c r="U216">
        <v>39</v>
      </c>
    </row>
    <row r="217" spans="1:21">
      <c r="A217" t="s">
        <v>187</v>
      </c>
      <c r="B217" t="s">
        <v>12</v>
      </c>
      <c r="C217">
        <v>37.669008</v>
      </c>
      <c r="D217">
        <v>812</v>
      </c>
      <c r="E217" s="1" t="s">
        <v>187</v>
      </c>
      <c r="F217">
        <f t="shared" si="9"/>
        <v>812</v>
      </c>
      <c r="G217">
        <f t="shared" si="10"/>
        <v>876</v>
      </c>
      <c r="H217" s="1">
        <f t="shared" si="11"/>
        <v>0.0223157630331754</v>
      </c>
      <c r="T217" t="s">
        <v>329</v>
      </c>
      <c r="U217">
        <v>2</v>
      </c>
    </row>
    <row r="218" spans="1:21">
      <c r="A218" t="s">
        <v>226</v>
      </c>
      <c r="B218" t="s">
        <v>12</v>
      </c>
      <c r="C218">
        <v>67.19055</v>
      </c>
      <c r="D218">
        <v>428</v>
      </c>
      <c r="E218" s="1" t="s">
        <v>226</v>
      </c>
      <c r="F218">
        <f t="shared" si="9"/>
        <v>428</v>
      </c>
      <c r="G218">
        <f t="shared" si="10"/>
        <v>311</v>
      </c>
      <c r="H218" s="1">
        <f t="shared" si="11"/>
        <v>0.0909209066305819</v>
      </c>
      <c r="T218" t="s">
        <v>306</v>
      </c>
      <c r="U218">
        <v>15</v>
      </c>
    </row>
    <row r="219" spans="1:21">
      <c r="A219" t="s">
        <v>309</v>
      </c>
      <c r="B219" t="s">
        <v>9</v>
      </c>
      <c r="C219">
        <v>290.566843</v>
      </c>
      <c r="D219">
        <v>509</v>
      </c>
      <c r="E219" s="1" t="s">
        <v>309</v>
      </c>
      <c r="F219">
        <f t="shared" si="9"/>
        <v>509</v>
      </c>
      <c r="G219">
        <f t="shared" si="10"/>
        <v>134</v>
      </c>
      <c r="H219" s="1">
        <f t="shared" si="11"/>
        <v>0.451892446345257</v>
      </c>
      <c r="T219" t="s">
        <v>308</v>
      </c>
      <c r="U219">
        <v>12</v>
      </c>
    </row>
    <row r="220" spans="1:21">
      <c r="A220" t="s">
        <v>13</v>
      </c>
      <c r="B220" t="s">
        <v>12</v>
      </c>
      <c r="C220">
        <v>63.725239</v>
      </c>
      <c r="D220">
        <v>36</v>
      </c>
      <c r="E220" s="1" t="s">
        <v>13</v>
      </c>
      <c r="F220">
        <f t="shared" si="9"/>
        <v>36</v>
      </c>
      <c r="G220">
        <f t="shared" si="10"/>
        <v>35</v>
      </c>
      <c r="H220" s="1">
        <f t="shared" si="11"/>
        <v>0.897538577464789</v>
      </c>
      <c r="T220" t="s">
        <v>330</v>
      </c>
      <c r="U220">
        <v>7</v>
      </c>
    </row>
    <row r="221" spans="1:21">
      <c r="A221" t="s">
        <v>307</v>
      </c>
      <c r="B221" t="s">
        <v>12</v>
      </c>
      <c r="C221">
        <v>128.612449</v>
      </c>
      <c r="D221">
        <v>254</v>
      </c>
      <c r="E221" s="1" t="s">
        <v>307</v>
      </c>
      <c r="F221">
        <f t="shared" si="9"/>
        <v>254</v>
      </c>
      <c r="G221">
        <f t="shared" si="10"/>
        <v>67</v>
      </c>
      <c r="H221" s="1">
        <f t="shared" si="11"/>
        <v>0.400661834890966</v>
      </c>
      <c r="T221" t="s">
        <v>127</v>
      </c>
      <c r="U221">
        <v>21</v>
      </c>
    </row>
    <row r="222" spans="1:21">
      <c r="A222" t="s">
        <v>331</v>
      </c>
      <c r="B222" t="s">
        <v>12</v>
      </c>
      <c r="C222">
        <v>0.0469</v>
      </c>
      <c r="D222">
        <v>4</v>
      </c>
      <c r="E222" s="1" t="s">
        <v>67</v>
      </c>
      <c r="F222">
        <f t="shared" si="9"/>
        <v>451</v>
      </c>
      <c r="G222">
        <f t="shared" si="10"/>
        <v>35</v>
      </c>
      <c r="H222" s="1">
        <f t="shared" si="11"/>
        <v>9.65020576131687e-5</v>
      </c>
      <c r="T222" t="s">
        <v>125</v>
      </c>
      <c r="U222">
        <v>21</v>
      </c>
    </row>
    <row r="223" spans="1:21">
      <c r="A223" t="s">
        <v>185</v>
      </c>
      <c r="B223" t="s">
        <v>12</v>
      </c>
      <c r="C223">
        <v>359.359573</v>
      </c>
      <c r="D223">
        <v>286</v>
      </c>
      <c r="E223" s="1" t="s">
        <v>185</v>
      </c>
      <c r="F223">
        <f t="shared" si="9"/>
        <v>286</v>
      </c>
      <c r="G223">
        <f t="shared" si="10"/>
        <v>5</v>
      </c>
      <c r="H223" s="1">
        <f t="shared" si="11"/>
        <v>1.23491262199313</v>
      </c>
      <c r="T223" t="s">
        <v>292</v>
      </c>
      <c r="U223">
        <v>20</v>
      </c>
    </row>
    <row r="224" spans="1:21">
      <c r="A224" t="s">
        <v>332</v>
      </c>
      <c r="B224" t="s">
        <v>12</v>
      </c>
      <c r="C224">
        <v>0.057</v>
      </c>
      <c r="D224">
        <v>5</v>
      </c>
      <c r="E224" s="1" t="s">
        <v>232</v>
      </c>
      <c r="F224">
        <f t="shared" si="9"/>
        <v>0</v>
      </c>
      <c r="G224">
        <f t="shared" si="10"/>
        <v>72</v>
      </c>
      <c r="H224" s="1">
        <f t="shared" si="11"/>
        <v>0.000791666666666667</v>
      </c>
      <c r="T224" t="s">
        <v>302</v>
      </c>
      <c r="U224">
        <v>55</v>
      </c>
    </row>
    <row r="225" spans="1:21">
      <c r="A225" t="s">
        <v>333</v>
      </c>
      <c r="B225" t="s">
        <v>12</v>
      </c>
      <c r="C225">
        <v>419.02472</v>
      </c>
      <c r="D225">
        <v>284</v>
      </c>
      <c r="E225" s="1" t="s">
        <v>333</v>
      </c>
      <c r="F225">
        <f t="shared" si="9"/>
        <v>284</v>
      </c>
      <c r="G225">
        <f t="shared" si="10"/>
        <v>107</v>
      </c>
      <c r="H225" s="1">
        <f t="shared" si="11"/>
        <v>1.07167447570332</v>
      </c>
      <c r="T225" t="s">
        <v>316</v>
      </c>
      <c r="U225">
        <v>64</v>
      </c>
    </row>
    <row r="226" spans="1:21">
      <c r="A226" t="s">
        <v>253</v>
      </c>
      <c r="B226" t="s">
        <v>12</v>
      </c>
      <c r="C226">
        <v>17.23007</v>
      </c>
      <c r="D226">
        <v>28</v>
      </c>
      <c r="E226" s="1" t="s">
        <v>253</v>
      </c>
      <c r="F226">
        <f t="shared" si="9"/>
        <v>28</v>
      </c>
      <c r="G226">
        <f t="shared" si="10"/>
        <v>11</v>
      </c>
      <c r="H226" s="1">
        <f t="shared" si="11"/>
        <v>0.441796666666667</v>
      </c>
      <c r="T226" t="s">
        <v>69</v>
      </c>
      <c r="U226">
        <v>86</v>
      </c>
    </row>
    <row r="227" spans="1:21">
      <c r="A227" t="s">
        <v>330</v>
      </c>
      <c r="B227" t="s">
        <v>12</v>
      </c>
      <c r="C227">
        <v>56.39389</v>
      </c>
      <c r="D227">
        <v>33</v>
      </c>
      <c r="E227" s="1" t="s">
        <v>330</v>
      </c>
      <c r="F227">
        <f t="shared" si="9"/>
        <v>33</v>
      </c>
      <c r="G227">
        <f t="shared" si="10"/>
        <v>7</v>
      </c>
      <c r="H227" s="1">
        <f t="shared" si="11"/>
        <v>1.40984725</v>
      </c>
      <c r="T227" t="s">
        <v>334</v>
      </c>
      <c r="U227">
        <v>69</v>
      </c>
    </row>
    <row r="228" spans="1:21">
      <c r="A228" t="s">
        <v>335</v>
      </c>
      <c r="B228" t="s">
        <v>12</v>
      </c>
      <c r="C228">
        <v>86.992513</v>
      </c>
      <c r="D228">
        <v>168</v>
      </c>
      <c r="E228" s="1" t="s">
        <v>335</v>
      </c>
      <c r="F228">
        <f t="shared" si="9"/>
        <v>168</v>
      </c>
      <c r="G228">
        <f t="shared" si="10"/>
        <v>154</v>
      </c>
      <c r="H228" s="1">
        <f t="shared" si="11"/>
        <v>0.270163083850932</v>
      </c>
      <c r="T228" t="s">
        <v>336</v>
      </c>
      <c r="U228">
        <v>91</v>
      </c>
    </row>
    <row r="229" spans="1:21">
      <c r="A229" t="s">
        <v>337</v>
      </c>
      <c r="B229" t="s">
        <v>12</v>
      </c>
      <c r="C229">
        <v>197.247608</v>
      </c>
      <c r="D229">
        <v>218</v>
      </c>
      <c r="E229" s="1" t="s">
        <v>337</v>
      </c>
      <c r="F229">
        <f t="shared" si="9"/>
        <v>218</v>
      </c>
      <c r="G229">
        <f t="shared" si="10"/>
        <v>141</v>
      </c>
      <c r="H229" s="1">
        <f t="shared" si="11"/>
        <v>0.549436233983287</v>
      </c>
      <c r="T229" t="s">
        <v>176</v>
      </c>
      <c r="U229">
        <v>293</v>
      </c>
    </row>
    <row r="230" spans="1:21">
      <c r="A230" t="s">
        <v>228</v>
      </c>
      <c r="B230" t="s">
        <v>12</v>
      </c>
      <c r="C230">
        <v>157.114324</v>
      </c>
      <c r="D230">
        <v>58</v>
      </c>
      <c r="E230" s="1" t="s">
        <v>228</v>
      </c>
      <c r="F230">
        <f t="shared" si="9"/>
        <v>58</v>
      </c>
      <c r="G230">
        <f t="shared" si="10"/>
        <v>16</v>
      </c>
      <c r="H230" s="1">
        <f t="shared" si="11"/>
        <v>2.12316654054054</v>
      </c>
      <c r="T230" t="s">
        <v>338</v>
      </c>
      <c r="U230">
        <v>1</v>
      </c>
    </row>
    <row r="231" spans="1:21">
      <c r="A231" t="s">
        <v>339</v>
      </c>
      <c r="B231" t="s">
        <v>12</v>
      </c>
      <c r="C231">
        <v>2.97324</v>
      </c>
      <c r="D231">
        <v>3</v>
      </c>
      <c r="E231" s="1" t="s">
        <v>339</v>
      </c>
      <c r="F231">
        <f t="shared" si="9"/>
        <v>3</v>
      </c>
      <c r="G231">
        <v>0</v>
      </c>
      <c r="H231" s="1">
        <f t="shared" si="11"/>
        <v>0.99108</v>
      </c>
      <c r="T231" t="s">
        <v>340</v>
      </c>
      <c r="U231">
        <v>188</v>
      </c>
    </row>
    <row r="232" spans="1:21">
      <c r="A232" t="s">
        <v>23</v>
      </c>
      <c r="B232" t="s">
        <v>12</v>
      </c>
      <c r="C232">
        <v>192.751478</v>
      </c>
      <c r="D232">
        <v>136</v>
      </c>
      <c r="E232" s="1" t="s">
        <v>23</v>
      </c>
      <c r="F232">
        <f t="shared" si="9"/>
        <v>136</v>
      </c>
      <c r="G232">
        <f t="shared" si="10"/>
        <v>5</v>
      </c>
      <c r="H232" s="1">
        <f t="shared" si="11"/>
        <v>1.36703175886525</v>
      </c>
      <c r="T232" t="s">
        <v>341</v>
      </c>
      <c r="U232">
        <v>22</v>
      </c>
    </row>
    <row r="233" spans="1:21">
      <c r="A233" t="s">
        <v>186</v>
      </c>
      <c r="B233" t="s">
        <v>12</v>
      </c>
      <c r="C233">
        <v>180.265553</v>
      </c>
      <c r="D233">
        <v>198</v>
      </c>
      <c r="E233" s="1" t="s">
        <v>186</v>
      </c>
      <c r="F233">
        <f t="shared" si="9"/>
        <v>198</v>
      </c>
      <c r="G233">
        <f t="shared" si="10"/>
        <v>102</v>
      </c>
      <c r="H233" s="1">
        <f t="shared" si="11"/>
        <v>0.600885176666667</v>
      </c>
      <c r="T233" t="s">
        <v>234</v>
      </c>
      <c r="U233">
        <v>118</v>
      </c>
    </row>
    <row r="234" spans="1:21">
      <c r="A234" t="s">
        <v>242</v>
      </c>
      <c r="B234" t="s">
        <v>12</v>
      </c>
      <c r="C234">
        <v>376.795099</v>
      </c>
      <c r="D234">
        <v>305</v>
      </c>
      <c r="E234" s="1" t="s">
        <v>242</v>
      </c>
      <c r="F234">
        <f t="shared" si="9"/>
        <v>305</v>
      </c>
      <c r="G234">
        <f t="shared" si="10"/>
        <v>6</v>
      </c>
      <c r="H234" s="1">
        <f t="shared" si="11"/>
        <v>1.21155980385852</v>
      </c>
      <c r="T234" t="s">
        <v>342</v>
      </c>
      <c r="U234">
        <v>78</v>
      </c>
    </row>
    <row r="235" spans="1:21">
      <c r="A235" t="s">
        <v>19</v>
      </c>
      <c r="B235" t="s">
        <v>12</v>
      </c>
      <c r="C235">
        <v>72.225402</v>
      </c>
      <c r="D235">
        <v>50</v>
      </c>
      <c r="E235" s="1" t="s">
        <v>19</v>
      </c>
      <c r="F235">
        <f t="shared" si="9"/>
        <v>50</v>
      </c>
      <c r="G235">
        <f t="shared" si="10"/>
        <v>61</v>
      </c>
      <c r="H235" s="1">
        <f t="shared" si="11"/>
        <v>0.650679297297297</v>
      </c>
      <c r="T235" t="s">
        <v>343</v>
      </c>
      <c r="U235">
        <v>29</v>
      </c>
    </row>
    <row r="236" spans="1:21">
      <c r="A236" t="s">
        <v>183</v>
      </c>
      <c r="B236" t="s">
        <v>12</v>
      </c>
      <c r="C236">
        <v>140.143615</v>
      </c>
      <c r="D236">
        <v>143</v>
      </c>
      <c r="E236" s="1" t="s">
        <v>183</v>
      </c>
      <c r="F236">
        <f t="shared" si="9"/>
        <v>143</v>
      </c>
      <c r="G236">
        <f t="shared" si="10"/>
        <v>34</v>
      </c>
      <c r="H236" s="1">
        <f t="shared" si="11"/>
        <v>0.791771836158192</v>
      </c>
      <c r="T236" t="s">
        <v>85</v>
      </c>
      <c r="U236">
        <v>43</v>
      </c>
    </row>
    <row r="237" spans="1:21">
      <c r="A237" t="s">
        <v>344</v>
      </c>
      <c r="B237" t="s">
        <v>12</v>
      </c>
      <c r="C237">
        <v>226.286749</v>
      </c>
      <c r="D237">
        <v>335</v>
      </c>
      <c r="E237" s="1" t="s">
        <v>344</v>
      </c>
      <c r="F237">
        <f t="shared" si="9"/>
        <v>335</v>
      </c>
      <c r="G237">
        <f t="shared" si="10"/>
        <v>84</v>
      </c>
      <c r="H237" s="1">
        <f t="shared" si="11"/>
        <v>0.540063840095465</v>
      </c>
      <c r="T237" t="s">
        <v>73</v>
      </c>
      <c r="U237">
        <v>30</v>
      </c>
    </row>
    <row r="238" spans="1:21">
      <c r="A238" t="s">
        <v>121</v>
      </c>
      <c r="B238" t="s">
        <v>12</v>
      </c>
      <c r="C238">
        <v>14.642376</v>
      </c>
      <c r="D238">
        <v>174</v>
      </c>
      <c r="E238" s="1" t="s">
        <v>121</v>
      </c>
      <c r="F238">
        <f t="shared" si="9"/>
        <v>174</v>
      </c>
      <c r="G238">
        <f t="shared" si="10"/>
        <v>111</v>
      </c>
      <c r="H238" s="1">
        <f t="shared" si="11"/>
        <v>0.0513767578947368</v>
      </c>
      <c r="T238" t="s">
        <v>95</v>
      </c>
      <c r="U238">
        <v>137</v>
      </c>
    </row>
    <row r="239" spans="1:21">
      <c r="A239" t="s">
        <v>341</v>
      </c>
      <c r="B239" t="s">
        <v>12</v>
      </c>
      <c r="C239">
        <v>556.9276</v>
      </c>
      <c r="D239">
        <v>290</v>
      </c>
      <c r="E239" s="1" t="s">
        <v>341</v>
      </c>
      <c r="F239">
        <f t="shared" si="9"/>
        <v>290</v>
      </c>
      <c r="G239">
        <f t="shared" si="10"/>
        <v>22</v>
      </c>
      <c r="H239" s="1">
        <f t="shared" si="11"/>
        <v>1.78502435897436</v>
      </c>
      <c r="T239" t="s">
        <v>345</v>
      </c>
      <c r="U239">
        <v>4</v>
      </c>
    </row>
    <row r="240" spans="1:21">
      <c r="A240" t="s">
        <v>118</v>
      </c>
      <c r="B240" t="s">
        <v>12</v>
      </c>
      <c r="C240">
        <v>405.801452</v>
      </c>
      <c r="D240">
        <v>182</v>
      </c>
      <c r="E240" s="1" t="s">
        <v>118</v>
      </c>
      <c r="F240">
        <f t="shared" si="9"/>
        <v>182</v>
      </c>
      <c r="G240">
        <f t="shared" si="10"/>
        <v>47</v>
      </c>
      <c r="H240" s="1">
        <f t="shared" si="11"/>
        <v>1.77205874235808</v>
      </c>
      <c r="T240" t="s">
        <v>162</v>
      </c>
      <c r="U240">
        <v>30</v>
      </c>
    </row>
    <row r="241" spans="1:21">
      <c r="A241" t="s">
        <v>182</v>
      </c>
      <c r="B241" t="s">
        <v>12</v>
      </c>
      <c r="C241">
        <v>416.895769</v>
      </c>
      <c r="D241">
        <v>455</v>
      </c>
      <c r="E241" s="1" t="s">
        <v>182</v>
      </c>
      <c r="F241">
        <f t="shared" si="9"/>
        <v>455</v>
      </c>
      <c r="G241">
        <f t="shared" si="10"/>
        <v>118</v>
      </c>
      <c r="H241" s="1">
        <f t="shared" si="11"/>
        <v>0.727566787085515</v>
      </c>
      <c r="T241" t="s">
        <v>229</v>
      </c>
      <c r="U241">
        <v>143</v>
      </c>
    </row>
    <row r="242" spans="1:21">
      <c r="A242" t="s">
        <v>246</v>
      </c>
      <c r="B242" t="s">
        <v>12</v>
      </c>
      <c r="C242">
        <v>44.001906</v>
      </c>
      <c r="D242">
        <v>23</v>
      </c>
      <c r="E242" s="1" t="s">
        <v>246</v>
      </c>
      <c r="F242">
        <f t="shared" si="9"/>
        <v>23</v>
      </c>
      <c r="G242">
        <f t="shared" si="10"/>
        <v>2</v>
      </c>
      <c r="H242" s="1">
        <f t="shared" si="11"/>
        <v>1.76007624</v>
      </c>
      <c r="T242" t="s">
        <v>236</v>
      </c>
      <c r="U242">
        <v>37</v>
      </c>
    </row>
    <row r="243" spans="1:21">
      <c r="A243" t="s">
        <v>346</v>
      </c>
      <c r="B243" t="s">
        <v>12</v>
      </c>
      <c r="C243">
        <v>39.79527</v>
      </c>
      <c r="D243">
        <v>22</v>
      </c>
      <c r="E243" s="1" t="s">
        <v>346</v>
      </c>
      <c r="F243">
        <f t="shared" si="9"/>
        <v>22</v>
      </c>
      <c r="G243">
        <v>0</v>
      </c>
      <c r="H243" s="1">
        <f t="shared" si="11"/>
        <v>1.80887590909091</v>
      </c>
      <c r="T243" t="s">
        <v>260</v>
      </c>
      <c r="U243">
        <v>60</v>
      </c>
    </row>
    <row r="244" spans="1:21">
      <c r="A244" t="s">
        <v>261</v>
      </c>
      <c r="B244" t="s">
        <v>12</v>
      </c>
      <c r="C244">
        <v>7.841582</v>
      </c>
      <c r="D244">
        <v>2</v>
      </c>
      <c r="E244" s="1" t="s">
        <v>261</v>
      </c>
      <c r="F244">
        <f t="shared" si="9"/>
        <v>2</v>
      </c>
      <c r="G244">
        <f t="shared" si="10"/>
        <v>25</v>
      </c>
      <c r="H244" s="1">
        <f t="shared" si="11"/>
        <v>0.290428962962963</v>
      </c>
      <c r="T244" t="s">
        <v>347</v>
      </c>
      <c r="U244">
        <v>64</v>
      </c>
    </row>
    <row r="245" spans="1:21">
      <c r="A245" t="s">
        <v>137</v>
      </c>
      <c r="B245" t="s">
        <v>12</v>
      </c>
      <c r="C245">
        <v>204.866</v>
      </c>
      <c r="D245">
        <v>143</v>
      </c>
      <c r="E245" s="1" t="s">
        <v>137</v>
      </c>
      <c r="F245">
        <f t="shared" si="9"/>
        <v>143</v>
      </c>
      <c r="G245">
        <f t="shared" si="10"/>
        <v>183</v>
      </c>
      <c r="H245" s="1">
        <f t="shared" si="11"/>
        <v>0.628423312883436</v>
      </c>
      <c r="T245" t="s">
        <v>348</v>
      </c>
      <c r="U245">
        <v>33</v>
      </c>
    </row>
    <row r="246" spans="1:21">
      <c r="A246" t="s">
        <v>349</v>
      </c>
      <c r="B246" t="s">
        <v>12</v>
      </c>
      <c r="C246">
        <v>310.104654</v>
      </c>
      <c r="D246">
        <v>298</v>
      </c>
      <c r="E246" s="1" t="s">
        <v>349</v>
      </c>
      <c r="F246">
        <f t="shared" si="9"/>
        <v>298</v>
      </c>
      <c r="G246">
        <f t="shared" si="10"/>
        <v>42</v>
      </c>
      <c r="H246" s="1">
        <f t="shared" si="11"/>
        <v>0.912072511764706</v>
      </c>
      <c r="T246" t="s">
        <v>350</v>
      </c>
      <c r="U246">
        <v>12</v>
      </c>
    </row>
    <row r="247" spans="1:21">
      <c r="A247" t="s">
        <v>100</v>
      </c>
      <c r="B247" t="s">
        <v>12</v>
      </c>
      <c r="C247">
        <v>84.05254</v>
      </c>
      <c r="D247">
        <v>125</v>
      </c>
      <c r="E247" s="1" t="s">
        <v>100</v>
      </c>
      <c r="F247">
        <f t="shared" si="9"/>
        <v>125</v>
      </c>
      <c r="G247">
        <f t="shared" si="10"/>
        <v>132</v>
      </c>
      <c r="H247" s="1">
        <f t="shared" si="11"/>
        <v>0.327052684824903</v>
      </c>
      <c r="T247" t="s">
        <v>351</v>
      </c>
      <c r="U247">
        <v>16</v>
      </c>
    </row>
    <row r="248" spans="1:21">
      <c r="A248" t="s">
        <v>352</v>
      </c>
      <c r="B248" t="s">
        <v>12</v>
      </c>
      <c r="C248">
        <v>73.220712</v>
      </c>
      <c r="D248">
        <v>89</v>
      </c>
      <c r="E248" s="1" t="s">
        <v>352</v>
      </c>
      <c r="F248">
        <f t="shared" si="9"/>
        <v>89</v>
      </c>
      <c r="G248">
        <f t="shared" si="10"/>
        <v>120</v>
      </c>
      <c r="H248" s="1">
        <f t="shared" si="11"/>
        <v>0.35033833492823</v>
      </c>
      <c r="T248" t="s">
        <v>97</v>
      </c>
      <c r="U248">
        <v>109</v>
      </c>
    </row>
    <row r="249" spans="1:21">
      <c r="A249" t="s">
        <v>353</v>
      </c>
      <c r="B249" t="s">
        <v>12</v>
      </c>
      <c r="C249">
        <v>0.228876</v>
      </c>
      <c r="D249">
        <v>5</v>
      </c>
      <c r="E249" s="1" t="s">
        <v>123</v>
      </c>
      <c r="F249">
        <f t="shared" si="9"/>
        <v>316</v>
      </c>
      <c r="G249">
        <f t="shared" si="10"/>
        <v>109</v>
      </c>
      <c r="H249" s="1">
        <f t="shared" si="11"/>
        <v>0.000538531764705882</v>
      </c>
      <c r="T249" t="s">
        <v>354</v>
      </c>
      <c r="U249">
        <v>16</v>
      </c>
    </row>
    <row r="250" spans="1:21">
      <c r="A250" t="s">
        <v>355</v>
      </c>
      <c r="B250" t="s">
        <v>12</v>
      </c>
      <c r="C250">
        <v>1.03005</v>
      </c>
      <c r="D250">
        <v>5</v>
      </c>
      <c r="E250" s="1" t="s">
        <v>123</v>
      </c>
      <c r="F250">
        <f t="shared" si="9"/>
        <v>316</v>
      </c>
      <c r="G250">
        <f t="shared" si="10"/>
        <v>109</v>
      </c>
      <c r="H250" s="1">
        <f t="shared" si="11"/>
        <v>0.00242364705882353</v>
      </c>
      <c r="T250" t="s">
        <v>356</v>
      </c>
      <c r="U250">
        <v>26</v>
      </c>
    </row>
    <row r="251" spans="1:21">
      <c r="A251" t="s">
        <v>357</v>
      </c>
      <c r="B251" t="s">
        <v>12</v>
      </c>
      <c r="C251">
        <v>604.465887</v>
      </c>
      <c r="D251">
        <v>580</v>
      </c>
      <c r="E251" s="1" t="s">
        <v>357</v>
      </c>
      <c r="F251">
        <f t="shared" si="9"/>
        <v>580</v>
      </c>
      <c r="G251">
        <f t="shared" si="10"/>
        <v>139</v>
      </c>
      <c r="H251" s="1">
        <f t="shared" si="11"/>
        <v>0.840703598052851</v>
      </c>
      <c r="T251" t="s">
        <v>358</v>
      </c>
      <c r="U251">
        <v>24</v>
      </c>
    </row>
    <row r="252" spans="1:21">
      <c r="A252" t="s">
        <v>359</v>
      </c>
      <c r="B252" t="s">
        <v>12</v>
      </c>
      <c r="C252">
        <v>63.19842</v>
      </c>
      <c r="D252">
        <v>35</v>
      </c>
      <c r="E252" s="1" t="s">
        <v>359</v>
      </c>
      <c r="F252">
        <f t="shared" si="9"/>
        <v>35</v>
      </c>
      <c r="G252">
        <v>0</v>
      </c>
      <c r="H252" s="1">
        <f t="shared" si="11"/>
        <v>1.80566914285714</v>
      </c>
      <c r="T252" t="s">
        <v>360</v>
      </c>
      <c r="U252">
        <v>3</v>
      </c>
    </row>
    <row r="253" spans="1:21">
      <c r="A253" t="s">
        <v>310</v>
      </c>
      <c r="B253" t="s">
        <v>12</v>
      </c>
      <c r="C253">
        <v>73.817935</v>
      </c>
      <c r="D253">
        <v>116</v>
      </c>
      <c r="E253" s="1" t="s">
        <v>310</v>
      </c>
      <c r="F253">
        <f t="shared" si="9"/>
        <v>116</v>
      </c>
      <c r="G253">
        <f t="shared" si="10"/>
        <v>55</v>
      </c>
      <c r="H253" s="1">
        <f t="shared" si="11"/>
        <v>0.431683830409357</v>
      </c>
      <c r="T253" t="s">
        <v>361</v>
      </c>
      <c r="U253">
        <v>3</v>
      </c>
    </row>
    <row r="254" spans="1:21">
      <c r="A254" t="s">
        <v>362</v>
      </c>
      <c r="B254" t="s">
        <v>12</v>
      </c>
      <c r="C254">
        <v>61.32222</v>
      </c>
      <c r="D254">
        <v>34</v>
      </c>
      <c r="E254" s="1" t="s">
        <v>362</v>
      </c>
      <c r="F254">
        <f t="shared" si="9"/>
        <v>34</v>
      </c>
      <c r="G254">
        <v>0</v>
      </c>
      <c r="H254" s="1">
        <f t="shared" si="11"/>
        <v>1.80359470588235</v>
      </c>
      <c r="T254" t="s">
        <v>363</v>
      </c>
      <c r="U254">
        <v>2</v>
      </c>
    </row>
    <row r="255" spans="1:21">
      <c r="A255" t="s">
        <v>147</v>
      </c>
      <c r="B255" t="s">
        <v>12</v>
      </c>
      <c r="C255">
        <v>192.7988</v>
      </c>
      <c r="D255">
        <v>386</v>
      </c>
      <c r="E255" s="1" t="s">
        <v>147</v>
      </c>
      <c r="F255">
        <f t="shared" si="9"/>
        <v>386</v>
      </c>
      <c r="G255">
        <f t="shared" si="10"/>
        <v>20</v>
      </c>
      <c r="H255" s="1">
        <f t="shared" si="11"/>
        <v>0.474873891625616</v>
      </c>
      <c r="T255" t="s">
        <v>364</v>
      </c>
      <c r="U255">
        <v>5</v>
      </c>
    </row>
    <row r="256" spans="1:21">
      <c r="A256" t="s">
        <v>365</v>
      </c>
      <c r="B256" t="s">
        <v>12</v>
      </c>
      <c r="C256">
        <v>84.75366</v>
      </c>
      <c r="D256">
        <v>162</v>
      </c>
      <c r="E256" s="1" t="s">
        <v>365</v>
      </c>
      <c r="F256">
        <f t="shared" si="9"/>
        <v>162</v>
      </c>
      <c r="G256">
        <f t="shared" si="10"/>
        <v>73</v>
      </c>
      <c r="H256" s="1">
        <f t="shared" si="11"/>
        <v>0.360653872340426</v>
      </c>
      <c r="T256" t="s">
        <v>245</v>
      </c>
      <c r="U256">
        <v>24</v>
      </c>
    </row>
    <row r="257" spans="1:21">
      <c r="A257" t="s">
        <v>366</v>
      </c>
      <c r="B257" t="s">
        <v>12</v>
      </c>
      <c r="C257">
        <v>101.141862</v>
      </c>
      <c r="D257">
        <v>161</v>
      </c>
      <c r="E257" s="1" t="s">
        <v>366</v>
      </c>
      <c r="F257">
        <f t="shared" si="9"/>
        <v>161</v>
      </c>
      <c r="G257">
        <f t="shared" si="10"/>
        <v>73</v>
      </c>
      <c r="H257" s="1">
        <f t="shared" si="11"/>
        <v>0.43223017948718</v>
      </c>
      <c r="T257" t="s">
        <v>249</v>
      </c>
      <c r="U257">
        <v>79</v>
      </c>
    </row>
    <row r="258" spans="1:21">
      <c r="A258" t="s">
        <v>367</v>
      </c>
      <c r="B258" t="s">
        <v>9</v>
      </c>
      <c r="C258">
        <v>0.07434</v>
      </c>
      <c r="D258">
        <v>12</v>
      </c>
      <c r="E258" s="1" t="s">
        <v>148</v>
      </c>
      <c r="F258">
        <f t="shared" si="9"/>
        <v>167</v>
      </c>
      <c r="G258">
        <f t="shared" si="10"/>
        <v>9</v>
      </c>
      <c r="H258" s="1">
        <f t="shared" si="11"/>
        <v>0.000422386363636364</v>
      </c>
      <c r="T258" t="s">
        <v>368</v>
      </c>
      <c r="U258">
        <v>3</v>
      </c>
    </row>
    <row r="259" spans="1:21">
      <c r="A259" t="s">
        <v>351</v>
      </c>
      <c r="B259" t="s">
        <v>12</v>
      </c>
      <c r="C259">
        <v>85.59483</v>
      </c>
      <c r="D259">
        <v>166</v>
      </c>
      <c r="E259" s="1" t="s">
        <v>351</v>
      </c>
      <c r="F259">
        <f t="shared" ref="F259:F322" si="12">VLOOKUP(E259,A:D,4,0)</f>
        <v>166</v>
      </c>
      <c r="G259">
        <f t="shared" ref="G259:G322" si="13">VLOOKUP(E259,T:U,2,0)</f>
        <v>16</v>
      </c>
      <c r="H259" s="1">
        <f t="shared" ref="H259:H322" si="14">C259/(F259+G259)</f>
        <v>0.470301263736264</v>
      </c>
      <c r="T259" t="s">
        <v>369</v>
      </c>
      <c r="U259">
        <v>32</v>
      </c>
    </row>
    <row r="260" spans="1:21">
      <c r="A260" t="s">
        <v>370</v>
      </c>
      <c r="B260" t="s">
        <v>12</v>
      </c>
      <c r="C260">
        <v>27.346284</v>
      </c>
      <c r="D260">
        <v>74</v>
      </c>
      <c r="E260" s="1" t="s">
        <v>370</v>
      </c>
      <c r="F260">
        <f t="shared" si="12"/>
        <v>74</v>
      </c>
      <c r="G260">
        <f t="shared" si="13"/>
        <v>24</v>
      </c>
      <c r="H260" s="1">
        <f t="shared" si="14"/>
        <v>0.279043714285714</v>
      </c>
      <c r="T260" t="s">
        <v>371</v>
      </c>
      <c r="U260">
        <v>1</v>
      </c>
    </row>
    <row r="261" spans="1:21">
      <c r="A261" t="s">
        <v>342</v>
      </c>
      <c r="B261" t="s">
        <v>12</v>
      </c>
      <c r="C261">
        <v>10.414992</v>
      </c>
      <c r="D261">
        <v>236</v>
      </c>
      <c r="E261" s="1" t="s">
        <v>342</v>
      </c>
      <c r="F261">
        <f t="shared" si="12"/>
        <v>236</v>
      </c>
      <c r="G261">
        <f t="shared" si="13"/>
        <v>78</v>
      </c>
      <c r="H261" s="1">
        <f t="shared" si="14"/>
        <v>0.0331687643312102</v>
      </c>
      <c r="T261" t="s">
        <v>173</v>
      </c>
      <c r="U261">
        <v>50</v>
      </c>
    </row>
    <row r="262" spans="1:21">
      <c r="A262" t="s">
        <v>328</v>
      </c>
      <c r="B262" t="s">
        <v>12</v>
      </c>
      <c r="C262">
        <v>84.153207</v>
      </c>
      <c r="D262">
        <v>106</v>
      </c>
      <c r="E262" s="1" t="s">
        <v>328</v>
      </c>
      <c r="F262">
        <f t="shared" si="12"/>
        <v>106</v>
      </c>
      <c r="G262">
        <f t="shared" si="13"/>
        <v>39</v>
      </c>
      <c r="H262" s="1">
        <f t="shared" si="14"/>
        <v>0.580366944827586</v>
      </c>
      <c r="T262" t="s">
        <v>372</v>
      </c>
      <c r="U262">
        <v>1</v>
      </c>
    </row>
    <row r="263" spans="1:21">
      <c r="A263" t="s">
        <v>343</v>
      </c>
      <c r="B263" t="s">
        <v>12</v>
      </c>
      <c r="C263">
        <v>133.442082</v>
      </c>
      <c r="D263">
        <v>321</v>
      </c>
      <c r="E263" s="1" t="s">
        <v>343</v>
      </c>
      <c r="F263">
        <f t="shared" si="12"/>
        <v>321</v>
      </c>
      <c r="G263">
        <f t="shared" si="13"/>
        <v>29</v>
      </c>
      <c r="H263" s="1">
        <f t="shared" si="14"/>
        <v>0.381263091428571</v>
      </c>
      <c r="T263" t="s">
        <v>373</v>
      </c>
      <c r="U263">
        <v>43</v>
      </c>
    </row>
    <row r="264" spans="1:21">
      <c r="A264" t="s">
        <v>374</v>
      </c>
      <c r="B264" t="s">
        <v>12</v>
      </c>
      <c r="C264">
        <v>0.099194</v>
      </c>
      <c r="D264">
        <v>2</v>
      </c>
      <c r="E264" s="1" t="s">
        <v>67</v>
      </c>
      <c r="F264">
        <f t="shared" si="12"/>
        <v>451</v>
      </c>
      <c r="G264">
        <f t="shared" si="13"/>
        <v>35</v>
      </c>
      <c r="H264" s="1">
        <f t="shared" si="14"/>
        <v>0.000204102880658436</v>
      </c>
      <c r="T264" t="s">
        <v>241</v>
      </c>
      <c r="U264">
        <v>33</v>
      </c>
    </row>
    <row r="265" spans="1:21">
      <c r="A265" t="s">
        <v>297</v>
      </c>
      <c r="B265" t="s">
        <v>12</v>
      </c>
      <c r="C265">
        <v>236.417457</v>
      </c>
      <c r="D265">
        <v>657</v>
      </c>
      <c r="E265" s="1" t="s">
        <v>297</v>
      </c>
      <c r="F265">
        <f t="shared" si="12"/>
        <v>657</v>
      </c>
      <c r="G265">
        <f t="shared" si="13"/>
        <v>237</v>
      </c>
      <c r="H265" s="1">
        <f t="shared" si="14"/>
        <v>0.26444905704698</v>
      </c>
      <c r="T265" t="s">
        <v>375</v>
      </c>
      <c r="U265">
        <v>1</v>
      </c>
    </row>
    <row r="266" spans="1:21">
      <c r="A266" t="s">
        <v>376</v>
      </c>
      <c r="B266" t="s">
        <v>12</v>
      </c>
      <c r="C266">
        <v>60.153548</v>
      </c>
      <c r="D266">
        <v>28</v>
      </c>
      <c r="E266" s="1" t="s">
        <v>376</v>
      </c>
      <c r="F266">
        <f t="shared" si="12"/>
        <v>28</v>
      </c>
      <c r="G266">
        <f t="shared" si="13"/>
        <v>15</v>
      </c>
      <c r="H266" s="1">
        <f t="shared" si="14"/>
        <v>1.39891972093023</v>
      </c>
      <c r="T266" t="s">
        <v>243</v>
      </c>
      <c r="U266">
        <v>26</v>
      </c>
    </row>
    <row r="267" spans="1:21">
      <c r="A267" t="s">
        <v>311</v>
      </c>
      <c r="B267" t="s">
        <v>9</v>
      </c>
      <c r="C267">
        <v>70.581775</v>
      </c>
      <c r="D267">
        <v>317</v>
      </c>
      <c r="E267" s="1" t="s">
        <v>311</v>
      </c>
      <c r="F267">
        <f t="shared" si="12"/>
        <v>317</v>
      </c>
      <c r="G267">
        <f t="shared" si="13"/>
        <v>233</v>
      </c>
      <c r="H267" s="1">
        <f t="shared" si="14"/>
        <v>0.1283305</v>
      </c>
      <c r="T267" t="s">
        <v>377</v>
      </c>
      <c r="U267">
        <v>2</v>
      </c>
    </row>
    <row r="268" spans="1:21">
      <c r="A268" t="s">
        <v>378</v>
      </c>
      <c r="B268" t="s">
        <v>12</v>
      </c>
      <c r="C268">
        <v>294.741373</v>
      </c>
      <c r="D268">
        <v>273</v>
      </c>
      <c r="E268" s="1" t="s">
        <v>92</v>
      </c>
      <c r="F268">
        <f t="shared" si="12"/>
        <v>160</v>
      </c>
      <c r="G268">
        <f t="shared" si="13"/>
        <v>38</v>
      </c>
      <c r="H268" s="1">
        <f t="shared" si="14"/>
        <v>1.48859279292929</v>
      </c>
      <c r="T268" t="s">
        <v>227</v>
      </c>
      <c r="U268">
        <v>13</v>
      </c>
    </row>
    <row r="269" spans="1:21">
      <c r="A269" t="s">
        <v>27</v>
      </c>
      <c r="B269" t="s">
        <v>12</v>
      </c>
      <c r="C269">
        <v>297.655272</v>
      </c>
      <c r="D269">
        <v>899</v>
      </c>
      <c r="E269" s="1" t="s">
        <v>27</v>
      </c>
      <c r="F269">
        <f t="shared" si="12"/>
        <v>899</v>
      </c>
      <c r="G269">
        <f t="shared" si="13"/>
        <v>265</v>
      </c>
      <c r="H269" s="1">
        <f t="shared" si="14"/>
        <v>0.255717587628866</v>
      </c>
      <c r="T269" t="s">
        <v>277</v>
      </c>
      <c r="U269">
        <v>17</v>
      </c>
    </row>
    <row r="270" spans="1:21">
      <c r="A270" t="s">
        <v>336</v>
      </c>
      <c r="B270" t="s">
        <v>12</v>
      </c>
      <c r="C270">
        <v>368.442947</v>
      </c>
      <c r="D270">
        <v>280</v>
      </c>
      <c r="E270" s="1" t="s">
        <v>336</v>
      </c>
      <c r="F270">
        <f t="shared" si="12"/>
        <v>280</v>
      </c>
      <c r="G270">
        <f t="shared" si="13"/>
        <v>91</v>
      </c>
      <c r="H270" s="1">
        <f t="shared" si="14"/>
        <v>0.993107673854447</v>
      </c>
      <c r="T270" t="s">
        <v>283</v>
      </c>
      <c r="U270">
        <v>13</v>
      </c>
    </row>
    <row r="271" spans="1:21">
      <c r="A271" t="s">
        <v>298</v>
      </c>
      <c r="B271" t="s">
        <v>12</v>
      </c>
      <c r="C271">
        <v>4.734362</v>
      </c>
      <c r="D271">
        <v>141</v>
      </c>
      <c r="E271" s="1" t="s">
        <v>298</v>
      </c>
      <c r="F271">
        <f t="shared" si="12"/>
        <v>141</v>
      </c>
      <c r="G271">
        <f t="shared" si="13"/>
        <v>141</v>
      </c>
      <c r="H271" s="1">
        <f t="shared" si="14"/>
        <v>0.0167885177304965</v>
      </c>
      <c r="T271" t="s">
        <v>379</v>
      </c>
      <c r="U271">
        <v>2</v>
      </c>
    </row>
    <row r="272" spans="1:21">
      <c r="A272" t="s">
        <v>380</v>
      </c>
      <c r="B272" t="s">
        <v>9</v>
      </c>
      <c r="C272">
        <v>0.03453</v>
      </c>
      <c r="D272">
        <v>10</v>
      </c>
      <c r="E272" s="1" t="s">
        <v>273</v>
      </c>
      <c r="F272">
        <f t="shared" si="12"/>
        <v>172</v>
      </c>
      <c r="G272">
        <f t="shared" si="13"/>
        <v>9</v>
      </c>
      <c r="H272" s="1">
        <f t="shared" si="14"/>
        <v>0.000190773480662983</v>
      </c>
      <c r="T272" t="s">
        <v>314</v>
      </c>
      <c r="U272">
        <v>53</v>
      </c>
    </row>
    <row r="273" spans="1:21">
      <c r="A273" t="s">
        <v>320</v>
      </c>
      <c r="B273" t="s">
        <v>12</v>
      </c>
      <c r="C273">
        <v>124.428331</v>
      </c>
      <c r="D273">
        <v>116</v>
      </c>
      <c r="E273" s="1" t="s">
        <v>320</v>
      </c>
      <c r="F273">
        <f t="shared" si="12"/>
        <v>116</v>
      </c>
      <c r="G273">
        <f t="shared" si="13"/>
        <v>3</v>
      </c>
      <c r="H273" s="1">
        <f t="shared" si="14"/>
        <v>1.04561622689076</v>
      </c>
      <c r="T273" t="s">
        <v>102</v>
      </c>
      <c r="U273">
        <v>20</v>
      </c>
    </row>
    <row r="274" spans="1:21">
      <c r="A274" t="s">
        <v>322</v>
      </c>
      <c r="B274" t="s">
        <v>12</v>
      </c>
      <c r="C274">
        <v>131.159051</v>
      </c>
      <c r="D274">
        <v>115</v>
      </c>
      <c r="E274" s="1" t="s">
        <v>322</v>
      </c>
      <c r="F274">
        <f t="shared" si="12"/>
        <v>115</v>
      </c>
      <c r="G274">
        <f t="shared" si="13"/>
        <v>3</v>
      </c>
      <c r="H274" s="1">
        <f t="shared" si="14"/>
        <v>1.11151738135593</v>
      </c>
      <c r="T274" t="s">
        <v>370</v>
      </c>
      <c r="U274">
        <v>24</v>
      </c>
    </row>
    <row r="275" spans="1:21">
      <c r="A275" t="s">
        <v>76</v>
      </c>
      <c r="B275" t="s">
        <v>12</v>
      </c>
      <c r="C275">
        <v>157.897258</v>
      </c>
      <c r="D275">
        <v>249</v>
      </c>
      <c r="E275" s="1" t="s">
        <v>76</v>
      </c>
      <c r="F275">
        <f t="shared" si="12"/>
        <v>249</v>
      </c>
      <c r="G275">
        <f t="shared" si="13"/>
        <v>15</v>
      </c>
      <c r="H275" s="1">
        <f t="shared" si="14"/>
        <v>0.598095674242424</v>
      </c>
      <c r="T275" t="s">
        <v>333</v>
      </c>
      <c r="U275">
        <v>107</v>
      </c>
    </row>
    <row r="276" spans="1:21">
      <c r="A276" t="s">
        <v>313</v>
      </c>
      <c r="B276" t="s">
        <v>12</v>
      </c>
      <c r="C276">
        <v>111.421929</v>
      </c>
      <c r="D276">
        <v>140</v>
      </c>
      <c r="E276" s="1" t="s">
        <v>313</v>
      </c>
      <c r="F276">
        <f t="shared" si="12"/>
        <v>140</v>
      </c>
      <c r="G276">
        <f t="shared" si="13"/>
        <v>22</v>
      </c>
      <c r="H276" s="1">
        <f t="shared" si="14"/>
        <v>0.687789685185185</v>
      </c>
      <c r="T276" t="s">
        <v>326</v>
      </c>
      <c r="U276">
        <v>31</v>
      </c>
    </row>
    <row r="277" spans="1:21">
      <c r="A277" t="s">
        <v>141</v>
      </c>
      <c r="B277" t="s">
        <v>12</v>
      </c>
      <c r="C277">
        <v>52.0956</v>
      </c>
      <c r="D277">
        <v>113</v>
      </c>
      <c r="E277" s="1" t="s">
        <v>141</v>
      </c>
      <c r="F277">
        <f t="shared" si="12"/>
        <v>113</v>
      </c>
      <c r="G277">
        <f t="shared" si="13"/>
        <v>253</v>
      </c>
      <c r="H277" s="1">
        <f t="shared" si="14"/>
        <v>0.142337704918033</v>
      </c>
      <c r="T277" t="s">
        <v>381</v>
      </c>
      <c r="U277">
        <v>1</v>
      </c>
    </row>
    <row r="278" spans="1:21">
      <c r="A278" t="s">
        <v>382</v>
      </c>
      <c r="B278" t="s">
        <v>12</v>
      </c>
      <c r="C278">
        <v>34.769988</v>
      </c>
      <c r="D278">
        <v>54</v>
      </c>
      <c r="E278" s="1" t="s">
        <v>382</v>
      </c>
      <c r="F278">
        <f t="shared" si="12"/>
        <v>54</v>
      </c>
      <c r="G278">
        <f t="shared" si="13"/>
        <v>41</v>
      </c>
      <c r="H278" s="1">
        <f t="shared" si="14"/>
        <v>0.36599987368421</v>
      </c>
      <c r="T278" t="s">
        <v>383</v>
      </c>
      <c r="U278">
        <v>1</v>
      </c>
    </row>
    <row r="279" spans="1:21">
      <c r="A279" t="s">
        <v>384</v>
      </c>
      <c r="B279" t="s">
        <v>12</v>
      </c>
      <c r="C279">
        <v>558.695907</v>
      </c>
      <c r="D279">
        <v>363</v>
      </c>
      <c r="E279" s="1" t="s">
        <v>384</v>
      </c>
      <c r="F279">
        <f t="shared" si="12"/>
        <v>363</v>
      </c>
      <c r="G279">
        <f t="shared" si="13"/>
        <v>172</v>
      </c>
      <c r="H279" s="1">
        <f t="shared" si="14"/>
        <v>1.04429141495327</v>
      </c>
      <c r="T279" t="s">
        <v>385</v>
      </c>
      <c r="U279">
        <v>1</v>
      </c>
    </row>
    <row r="280" spans="1:21">
      <c r="A280" t="s">
        <v>139</v>
      </c>
      <c r="B280" t="s">
        <v>12</v>
      </c>
      <c r="C280">
        <v>193.516814</v>
      </c>
      <c r="D280">
        <v>137</v>
      </c>
      <c r="E280" s="1" t="s">
        <v>139</v>
      </c>
      <c r="F280">
        <f t="shared" si="12"/>
        <v>137</v>
      </c>
      <c r="G280">
        <f t="shared" si="13"/>
        <v>86</v>
      </c>
      <c r="H280" s="1">
        <f t="shared" si="14"/>
        <v>0.867788403587444</v>
      </c>
      <c r="T280" t="s">
        <v>386</v>
      </c>
      <c r="U280">
        <v>37</v>
      </c>
    </row>
    <row r="281" spans="1:21">
      <c r="A281" t="s">
        <v>387</v>
      </c>
      <c r="B281" t="s">
        <v>12</v>
      </c>
      <c r="C281">
        <v>84.865521</v>
      </c>
      <c r="D281">
        <v>137</v>
      </c>
      <c r="E281" s="1" t="s">
        <v>387</v>
      </c>
      <c r="F281">
        <f t="shared" si="12"/>
        <v>137</v>
      </c>
      <c r="G281">
        <f t="shared" si="13"/>
        <v>18</v>
      </c>
      <c r="H281" s="1">
        <f t="shared" si="14"/>
        <v>0.547519490322581</v>
      </c>
      <c r="T281" t="s">
        <v>388</v>
      </c>
      <c r="U281">
        <v>37</v>
      </c>
    </row>
    <row r="282" spans="1:21">
      <c r="A282" t="s">
        <v>84</v>
      </c>
      <c r="B282" t="s">
        <v>12</v>
      </c>
      <c r="C282">
        <v>94.525039</v>
      </c>
      <c r="D282">
        <v>140</v>
      </c>
      <c r="E282" s="1" t="s">
        <v>84</v>
      </c>
      <c r="F282">
        <f t="shared" si="12"/>
        <v>140</v>
      </c>
      <c r="G282">
        <f t="shared" si="13"/>
        <v>5</v>
      </c>
      <c r="H282" s="1">
        <f t="shared" si="14"/>
        <v>0.651896820689655</v>
      </c>
      <c r="T282" t="s">
        <v>389</v>
      </c>
      <c r="U282">
        <v>37</v>
      </c>
    </row>
    <row r="283" spans="1:21">
      <c r="A283" t="s">
        <v>262</v>
      </c>
      <c r="B283" t="s">
        <v>12</v>
      </c>
      <c r="C283">
        <v>88.943219</v>
      </c>
      <c r="D283">
        <v>95</v>
      </c>
      <c r="E283" s="1" t="s">
        <v>262</v>
      </c>
      <c r="F283">
        <f t="shared" si="12"/>
        <v>95</v>
      </c>
      <c r="G283">
        <f t="shared" si="13"/>
        <v>78</v>
      </c>
      <c r="H283" s="1">
        <f t="shared" si="14"/>
        <v>0.514122653179191</v>
      </c>
      <c r="T283" t="s">
        <v>390</v>
      </c>
      <c r="U283">
        <v>37</v>
      </c>
    </row>
    <row r="284" spans="1:21">
      <c r="A284" t="s">
        <v>390</v>
      </c>
      <c r="B284" t="s">
        <v>12</v>
      </c>
      <c r="C284">
        <v>40.475019</v>
      </c>
      <c r="D284">
        <v>14</v>
      </c>
      <c r="E284" s="1" t="s">
        <v>390</v>
      </c>
      <c r="F284">
        <f t="shared" si="12"/>
        <v>14</v>
      </c>
      <c r="G284">
        <f t="shared" si="13"/>
        <v>37</v>
      </c>
      <c r="H284" s="1">
        <f t="shared" si="14"/>
        <v>0.793627823529412</v>
      </c>
      <c r="T284" t="s">
        <v>14</v>
      </c>
      <c r="U284">
        <v>61</v>
      </c>
    </row>
    <row r="285" spans="1:21">
      <c r="A285" t="s">
        <v>389</v>
      </c>
      <c r="B285" t="s">
        <v>12</v>
      </c>
      <c r="C285">
        <v>30.590363</v>
      </c>
      <c r="D285">
        <v>14</v>
      </c>
      <c r="E285" s="1" t="s">
        <v>389</v>
      </c>
      <c r="F285">
        <f t="shared" si="12"/>
        <v>14</v>
      </c>
      <c r="G285">
        <f t="shared" si="13"/>
        <v>37</v>
      </c>
      <c r="H285" s="1">
        <f t="shared" si="14"/>
        <v>0.599811039215686</v>
      </c>
      <c r="T285" t="s">
        <v>16</v>
      </c>
      <c r="U285">
        <v>61</v>
      </c>
    </row>
    <row r="286" spans="1:21">
      <c r="A286" t="s">
        <v>388</v>
      </c>
      <c r="B286" t="s">
        <v>12</v>
      </c>
      <c r="C286">
        <v>37.22894</v>
      </c>
      <c r="D286">
        <v>14</v>
      </c>
      <c r="E286" s="1" t="s">
        <v>388</v>
      </c>
      <c r="F286">
        <f t="shared" si="12"/>
        <v>14</v>
      </c>
      <c r="G286">
        <f t="shared" si="13"/>
        <v>37</v>
      </c>
      <c r="H286" s="1">
        <f t="shared" si="14"/>
        <v>0.729979215686275</v>
      </c>
      <c r="T286" t="s">
        <v>265</v>
      </c>
      <c r="U286">
        <v>12</v>
      </c>
    </row>
    <row r="287" spans="1:21">
      <c r="A287" t="s">
        <v>386</v>
      </c>
      <c r="B287" t="s">
        <v>12</v>
      </c>
      <c r="C287">
        <v>38.155418</v>
      </c>
      <c r="D287">
        <v>13</v>
      </c>
      <c r="E287" s="1" t="s">
        <v>386</v>
      </c>
      <c r="F287">
        <f t="shared" si="12"/>
        <v>13</v>
      </c>
      <c r="G287">
        <f t="shared" si="13"/>
        <v>37</v>
      </c>
      <c r="H287" s="1">
        <f t="shared" si="14"/>
        <v>0.76310836</v>
      </c>
      <c r="T287" t="s">
        <v>264</v>
      </c>
      <c r="U287">
        <v>12</v>
      </c>
    </row>
    <row r="288" spans="1:21">
      <c r="A288" t="s">
        <v>391</v>
      </c>
      <c r="B288" t="s">
        <v>12</v>
      </c>
      <c r="C288">
        <v>276.409901</v>
      </c>
      <c r="D288">
        <v>206</v>
      </c>
      <c r="E288" s="1" t="s">
        <v>391</v>
      </c>
      <c r="F288">
        <f t="shared" si="12"/>
        <v>206</v>
      </c>
      <c r="G288">
        <f t="shared" si="13"/>
        <v>23</v>
      </c>
      <c r="H288" s="1">
        <f t="shared" si="14"/>
        <v>1.20703013537118</v>
      </c>
      <c r="T288" t="s">
        <v>266</v>
      </c>
      <c r="U288">
        <v>12</v>
      </c>
    </row>
    <row r="289" spans="1:21">
      <c r="A289" t="s">
        <v>191</v>
      </c>
      <c r="B289" t="s">
        <v>12</v>
      </c>
      <c r="C289">
        <v>9.665574</v>
      </c>
      <c r="D289">
        <v>375</v>
      </c>
      <c r="E289" s="1" t="s">
        <v>191</v>
      </c>
      <c r="F289">
        <f t="shared" si="12"/>
        <v>375</v>
      </c>
      <c r="G289">
        <f t="shared" si="13"/>
        <v>323</v>
      </c>
      <c r="H289" s="1">
        <f t="shared" si="14"/>
        <v>0.0138475272206304</v>
      </c>
      <c r="T289" t="s">
        <v>148</v>
      </c>
      <c r="U289">
        <v>9</v>
      </c>
    </row>
    <row r="290" spans="1:21">
      <c r="A290" t="s">
        <v>325</v>
      </c>
      <c r="B290" t="s">
        <v>12</v>
      </c>
      <c r="C290">
        <v>166.817119</v>
      </c>
      <c r="D290">
        <v>419</v>
      </c>
      <c r="E290" s="1" t="s">
        <v>325</v>
      </c>
      <c r="F290">
        <f t="shared" si="12"/>
        <v>419</v>
      </c>
      <c r="G290">
        <f t="shared" si="13"/>
        <v>203</v>
      </c>
      <c r="H290" s="1">
        <f t="shared" si="14"/>
        <v>0.268194725080386</v>
      </c>
      <c r="T290" t="s">
        <v>150</v>
      </c>
      <c r="U290">
        <v>27</v>
      </c>
    </row>
    <row r="291" spans="1:21">
      <c r="A291" t="s">
        <v>248</v>
      </c>
      <c r="B291" t="s">
        <v>12</v>
      </c>
      <c r="C291">
        <v>43.646415</v>
      </c>
      <c r="D291">
        <v>23</v>
      </c>
      <c r="E291" s="1" t="s">
        <v>248</v>
      </c>
      <c r="F291">
        <f t="shared" si="12"/>
        <v>23</v>
      </c>
      <c r="G291">
        <f t="shared" si="13"/>
        <v>2</v>
      </c>
      <c r="H291" s="1">
        <f t="shared" si="14"/>
        <v>1.7458566</v>
      </c>
      <c r="T291" t="s">
        <v>160</v>
      </c>
      <c r="U291">
        <v>24</v>
      </c>
    </row>
    <row r="292" spans="1:21">
      <c r="A292" t="s">
        <v>94</v>
      </c>
      <c r="B292" t="s">
        <v>12</v>
      </c>
      <c r="C292">
        <v>93.427643</v>
      </c>
      <c r="D292">
        <v>166</v>
      </c>
      <c r="E292" s="1" t="s">
        <v>94</v>
      </c>
      <c r="F292">
        <f t="shared" si="12"/>
        <v>166</v>
      </c>
      <c r="G292">
        <f t="shared" si="13"/>
        <v>77</v>
      </c>
      <c r="H292" s="1">
        <f t="shared" si="14"/>
        <v>0.384475897119342</v>
      </c>
      <c r="T292" t="s">
        <v>71</v>
      </c>
      <c r="U292">
        <v>12</v>
      </c>
    </row>
    <row r="293" spans="1:21">
      <c r="A293" t="s">
        <v>392</v>
      </c>
      <c r="B293" t="s">
        <v>12</v>
      </c>
      <c r="C293">
        <v>41.612211</v>
      </c>
      <c r="D293">
        <v>22</v>
      </c>
      <c r="E293" s="1" t="s">
        <v>392</v>
      </c>
      <c r="F293">
        <f t="shared" si="12"/>
        <v>22</v>
      </c>
      <c r="G293">
        <v>0</v>
      </c>
      <c r="H293" s="1">
        <f t="shared" si="14"/>
        <v>1.89146413636364</v>
      </c>
      <c r="T293" t="s">
        <v>64</v>
      </c>
      <c r="U293">
        <v>29</v>
      </c>
    </row>
    <row r="294" spans="1:21">
      <c r="A294" t="s">
        <v>340</v>
      </c>
      <c r="B294" t="s">
        <v>12</v>
      </c>
      <c r="C294">
        <v>403.374293</v>
      </c>
      <c r="D294">
        <v>656</v>
      </c>
      <c r="E294" s="1" t="s">
        <v>340</v>
      </c>
      <c r="F294">
        <f t="shared" si="12"/>
        <v>656</v>
      </c>
      <c r="G294">
        <f t="shared" si="13"/>
        <v>188</v>
      </c>
      <c r="H294" s="1">
        <f t="shared" si="14"/>
        <v>0.477931626777251</v>
      </c>
      <c r="T294" t="s">
        <v>77</v>
      </c>
      <c r="U294">
        <v>19</v>
      </c>
    </row>
    <row r="295" spans="1:21">
      <c r="A295" t="s">
        <v>373</v>
      </c>
      <c r="B295" t="s">
        <v>12</v>
      </c>
      <c r="C295">
        <v>14.932372</v>
      </c>
      <c r="D295">
        <v>83</v>
      </c>
      <c r="E295" s="1" t="s">
        <v>373</v>
      </c>
      <c r="F295">
        <f t="shared" si="12"/>
        <v>83</v>
      </c>
      <c r="G295">
        <f t="shared" si="13"/>
        <v>43</v>
      </c>
      <c r="H295" s="1">
        <f t="shared" si="14"/>
        <v>0.118510888888889</v>
      </c>
      <c r="T295" t="s">
        <v>273</v>
      </c>
      <c r="U295">
        <v>9</v>
      </c>
    </row>
    <row r="296" spans="1:21">
      <c r="A296" t="s">
        <v>96</v>
      </c>
      <c r="B296" t="s">
        <v>12</v>
      </c>
      <c r="C296">
        <v>50.024949</v>
      </c>
      <c r="D296">
        <v>70</v>
      </c>
      <c r="E296" s="1" t="s">
        <v>96</v>
      </c>
      <c r="F296">
        <f t="shared" si="12"/>
        <v>70</v>
      </c>
      <c r="G296">
        <f t="shared" si="13"/>
        <v>66</v>
      </c>
      <c r="H296" s="1">
        <f t="shared" si="14"/>
        <v>0.367830507352941</v>
      </c>
      <c r="T296" t="s">
        <v>272</v>
      </c>
      <c r="U296">
        <v>9</v>
      </c>
    </row>
    <row r="297" spans="1:21">
      <c r="A297" t="s">
        <v>393</v>
      </c>
      <c r="B297" t="s">
        <v>12</v>
      </c>
      <c r="C297">
        <v>25.16375</v>
      </c>
      <c r="D297">
        <v>49</v>
      </c>
      <c r="E297" s="1" t="s">
        <v>166</v>
      </c>
      <c r="F297">
        <f t="shared" si="12"/>
        <v>335</v>
      </c>
      <c r="G297">
        <f t="shared" si="13"/>
        <v>92</v>
      </c>
      <c r="H297" s="1">
        <f t="shared" si="14"/>
        <v>0.0589314988290398</v>
      </c>
      <c r="T297" t="s">
        <v>293</v>
      </c>
      <c r="U297">
        <v>26</v>
      </c>
    </row>
    <row r="298" spans="1:21">
      <c r="A298" t="s">
        <v>394</v>
      </c>
      <c r="B298" t="s">
        <v>12</v>
      </c>
      <c r="C298">
        <v>61.32222</v>
      </c>
      <c r="D298">
        <v>34</v>
      </c>
      <c r="E298" s="1" t="s">
        <v>394</v>
      </c>
      <c r="F298">
        <f t="shared" si="12"/>
        <v>34</v>
      </c>
      <c r="G298">
        <v>0</v>
      </c>
      <c r="H298" s="1">
        <f t="shared" si="14"/>
        <v>1.80359470588235</v>
      </c>
      <c r="T298" t="s">
        <v>294</v>
      </c>
      <c r="U298">
        <v>26</v>
      </c>
    </row>
    <row r="299" spans="1:21">
      <c r="A299" t="s">
        <v>244</v>
      </c>
      <c r="B299" t="s">
        <v>12</v>
      </c>
      <c r="C299">
        <v>53.797658</v>
      </c>
      <c r="D299">
        <v>29</v>
      </c>
      <c r="E299" s="1" t="s">
        <v>244</v>
      </c>
      <c r="F299">
        <f t="shared" si="12"/>
        <v>29</v>
      </c>
      <c r="G299">
        <f t="shared" si="13"/>
        <v>2</v>
      </c>
      <c r="H299" s="1">
        <f t="shared" si="14"/>
        <v>1.73540832258065</v>
      </c>
      <c r="T299" t="s">
        <v>122</v>
      </c>
      <c r="U299">
        <v>20</v>
      </c>
    </row>
    <row r="300" spans="1:21">
      <c r="A300" t="s">
        <v>395</v>
      </c>
      <c r="B300" t="s">
        <v>12</v>
      </c>
      <c r="C300">
        <v>11.946316</v>
      </c>
      <c r="D300">
        <v>70</v>
      </c>
      <c r="E300" s="1" t="s">
        <v>395</v>
      </c>
      <c r="F300">
        <f t="shared" si="12"/>
        <v>70</v>
      </c>
      <c r="G300">
        <f t="shared" si="13"/>
        <v>15</v>
      </c>
      <c r="H300" s="1">
        <f t="shared" si="14"/>
        <v>0.140544894117647</v>
      </c>
      <c r="T300" t="s">
        <v>120</v>
      </c>
      <c r="U300">
        <v>20</v>
      </c>
    </row>
    <row r="301" spans="1:21">
      <c r="A301" t="s">
        <v>290</v>
      </c>
      <c r="B301" t="s">
        <v>12</v>
      </c>
      <c r="C301">
        <v>240.78187</v>
      </c>
      <c r="D301">
        <v>259</v>
      </c>
      <c r="E301" s="1" t="s">
        <v>290</v>
      </c>
      <c r="F301">
        <f t="shared" si="12"/>
        <v>259</v>
      </c>
      <c r="G301">
        <f t="shared" si="13"/>
        <v>102</v>
      </c>
      <c r="H301" s="1">
        <f t="shared" si="14"/>
        <v>0.666985789473684</v>
      </c>
      <c r="T301" t="s">
        <v>8</v>
      </c>
      <c r="U301">
        <v>34</v>
      </c>
    </row>
    <row r="302" spans="1:21">
      <c r="A302" t="s">
        <v>348</v>
      </c>
      <c r="B302" t="s">
        <v>12</v>
      </c>
      <c r="C302">
        <v>2.842148</v>
      </c>
      <c r="D302">
        <v>227</v>
      </c>
      <c r="E302" s="1" t="s">
        <v>348</v>
      </c>
      <c r="F302">
        <f t="shared" si="12"/>
        <v>227</v>
      </c>
      <c r="G302">
        <f t="shared" si="13"/>
        <v>33</v>
      </c>
      <c r="H302" s="1">
        <f t="shared" si="14"/>
        <v>0.0109313384615385</v>
      </c>
      <c r="T302" t="s">
        <v>36</v>
      </c>
      <c r="U302">
        <v>11</v>
      </c>
    </row>
    <row r="303" spans="1:21">
      <c r="A303" t="s">
        <v>396</v>
      </c>
      <c r="B303" t="s">
        <v>12</v>
      </c>
      <c r="C303">
        <v>0.019621</v>
      </c>
      <c r="D303">
        <v>7</v>
      </c>
      <c r="E303" s="1" t="s">
        <v>352</v>
      </c>
      <c r="F303">
        <f t="shared" si="12"/>
        <v>89</v>
      </c>
      <c r="G303">
        <f t="shared" si="13"/>
        <v>120</v>
      </c>
      <c r="H303" s="1">
        <f t="shared" si="14"/>
        <v>9.38803827751196e-5</v>
      </c>
      <c r="T303" t="s">
        <v>38</v>
      </c>
      <c r="U303">
        <v>13</v>
      </c>
    </row>
    <row r="304" spans="1:21">
      <c r="A304" t="s">
        <v>239</v>
      </c>
      <c r="B304" t="s">
        <v>12</v>
      </c>
      <c r="C304">
        <v>110.230196</v>
      </c>
      <c r="D304">
        <v>208</v>
      </c>
      <c r="E304" s="1" t="s">
        <v>239</v>
      </c>
      <c r="F304">
        <f t="shared" si="12"/>
        <v>208</v>
      </c>
      <c r="G304">
        <f t="shared" si="13"/>
        <v>64</v>
      </c>
      <c r="H304" s="1">
        <f t="shared" si="14"/>
        <v>0.405258073529412</v>
      </c>
      <c r="T304" t="s">
        <v>352</v>
      </c>
      <c r="U304">
        <v>120</v>
      </c>
    </row>
    <row r="305" spans="1:21">
      <c r="A305" t="s">
        <v>397</v>
      </c>
      <c r="B305" t="s">
        <v>12</v>
      </c>
      <c r="C305">
        <v>0.086377</v>
      </c>
      <c r="D305">
        <v>2</v>
      </c>
      <c r="E305" s="1" t="s">
        <v>302</v>
      </c>
      <c r="F305">
        <f t="shared" si="12"/>
        <v>515</v>
      </c>
      <c r="G305">
        <f t="shared" si="13"/>
        <v>55</v>
      </c>
      <c r="H305" s="1">
        <f t="shared" si="14"/>
        <v>0.000151538596491228</v>
      </c>
      <c r="T305" t="s">
        <v>52</v>
      </c>
      <c r="U305">
        <v>57</v>
      </c>
    </row>
    <row r="306" spans="1:21">
      <c r="A306" t="s">
        <v>350</v>
      </c>
      <c r="B306" t="s">
        <v>12</v>
      </c>
      <c r="C306">
        <v>61.003305</v>
      </c>
      <c r="D306">
        <v>85</v>
      </c>
      <c r="E306" s="1" t="s">
        <v>350</v>
      </c>
      <c r="F306">
        <f t="shared" si="12"/>
        <v>85</v>
      </c>
      <c r="G306">
        <f t="shared" si="13"/>
        <v>12</v>
      </c>
      <c r="H306" s="1">
        <f t="shared" si="14"/>
        <v>0.628900051546392</v>
      </c>
      <c r="T306" t="s">
        <v>269</v>
      </c>
      <c r="U306">
        <v>28</v>
      </c>
    </row>
    <row r="307" spans="1:21">
      <c r="A307" t="s">
        <v>398</v>
      </c>
      <c r="B307" t="s">
        <v>12</v>
      </c>
      <c r="C307">
        <v>0.09</v>
      </c>
      <c r="D307">
        <v>4</v>
      </c>
      <c r="E307" s="1" t="s">
        <v>211</v>
      </c>
      <c r="F307">
        <f t="shared" si="12"/>
        <v>178</v>
      </c>
      <c r="G307">
        <f t="shared" si="13"/>
        <v>48</v>
      </c>
      <c r="H307" s="1">
        <f t="shared" si="14"/>
        <v>0.000398230088495575</v>
      </c>
      <c r="T307" t="s">
        <v>281</v>
      </c>
      <c r="U307">
        <v>92</v>
      </c>
    </row>
    <row r="308" spans="1:21">
      <c r="A308" t="s">
        <v>399</v>
      </c>
      <c r="B308" t="s">
        <v>12</v>
      </c>
      <c r="C308">
        <v>0.123005</v>
      </c>
      <c r="D308">
        <v>6</v>
      </c>
      <c r="E308" s="1" t="s">
        <v>205</v>
      </c>
      <c r="F308">
        <f t="shared" si="12"/>
        <v>390</v>
      </c>
      <c r="G308">
        <f t="shared" si="13"/>
        <v>30</v>
      </c>
      <c r="H308" s="1">
        <f t="shared" si="14"/>
        <v>0.000292869047619048</v>
      </c>
      <c r="T308" t="s">
        <v>225</v>
      </c>
      <c r="U308">
        <v>102</v>
      </c>
    </row>
    <row r="309" spans="1:21">
      <c r="A309" t="s">
        <v>400</v>
      </c>
      <c r="B309" t="s">
        <v>12</v>
      </c>
      <c r="C309">
        <v>417.104475</v>
      </c>
      <c r="D309">
        <v>295</v>
      </c>
      <c r="E309" s="1" t="s">
        <v>65</v>
      </c>
      <c r="F309">
        <f t="shared" si="12"/>
        <v>272</v>
      </c>
      <c r="G309">
        <f t="shared" si="13"/>
        <v>12</v>
      </c>
      <c r="H309" s="1">
        <f t="shared" si="14"/>
        <v>1.46867772887324</v>
      </c>
      <c r="T309" t="s">
        <v>240</v>
      </c>
      <c r="U309">
        <v>52</v>
      </c>
    </row>
    <row r="310" spans="1:21">
      <c r="A310" t="s">
        <v>161</v>
      </c>
      <c r="B310" t="s">
        <v>12</v>
      </c>
      <c r="C310">
        <v>34.318626</v>
      </c>
      <c r="D310">
        <v>61</v>
      </c>
      <c r="E310" s="1" t="s">
        <v>161</v>
      </c>
      <c r="F310">
        <f t="shared" si="12"/>
        <v>61</v>
      </c>
      <c r="G310">
        <f t="shared" si="13"/>
        <v>15</v>
      </c>
      <c r="H310" s="1">
        <f t="shared" si="14"/>
        <v>0.451560868421053</v>
      </c>
      <c r="T310" t="s">
        <v>201</v>
      </c>
      <c r="U310">
        <v>3</v>
      </c>
    </row>
    <row r="311" spans="1:21">
      <c r="A311" t="s">
        <v>259</v>
      </c>
      <c r="B311" t="s">
        <v>12</v>
      </c>
      <c r="C311">
        <v>48.35562</v>
      </c>
      <c r="D311">
        <v>50</v>
      </c>
      <c r="E311" s="1" t="s">
        <v>259</v>
      </c>
      <c r="F311">
        <f t="shared" si="12"/>
        <v>50</v>
      </c>
      <c r="G311">
        <f t="shared" si="13"/>
        <v>6</v>
      </c>
      <c r="H311" s="1">
        <f t="shared" si="14"/>
        <v>0.863493214285714</v>
      </c>
      <c r="T311" t="s">
        <v>401</v>
      </c>
      <c r="U311">
        <v>80</v>
      </c>
    </row>
    <row r="312" spans="1:21">
      <c r="A312" t="s">
        <v>402</v>
      </c>
      <c r="B312" t="s">
        <v>12</v>
      </c>
      <c r="C312">
        <v>0.27099</v>
      </c>
      <c r="D312">
        <v>15</v>
      </c>
      <c r="E312" s="1" t="s">
        <v>403</v>
      </c>
      <c r="F312">
        <v>0</v>
      </c>
      <c r="G312">
        <v>0</v>
      </c>
      <c r="H312" s="1" t="e">
        <f t="shared" si="14"/>
        <v>#DIV/0!</v>
      </c>
      <c r="T312" t="s">
        <v>258</v>
      </c>
      <c r="U312">
        <v>21</v>
      </c>
    </row>
    <row r="313" spans="1:21">
      <c r="A313" t="s">
        <v>404</v>
      </c>
      <c r="B313" t="s">
        <v>12</v>
      </c>
      <c r="C313">
        <v>0.21475</v>
      </c>
      <c r="D313">
        <v>19</v>
      </c>
      <c r="E313" s="1" t="s">
        <v>282</v>
      </c>
      <c r="F313">
        <f t="shared" si="12"/>
        <v>853</v>
      </c>
      <c r="G313">
        <f t="shared" si="13"/>
        <v>314</v>
      </c>
      <c r="H313" s="1">
        <f t="shared" si="14"/>
        <v>0.000184018851756641</v>
      </c>
      <c r="T313" t="s">
        <v>391</v>
      </c>
      <c r="U313">
        <v>23</v>
      </c>
    </row>
    <row r="314" spans="1:21">
      <c r="A314" t="s">
        <v>334</v>
      </c>
      <c r="B314" t="s">
        <v>12</v>
      </c>
      <c r="C314">
        <v>14.207084</v>
      </c>
      <c r="D314">
        <v>0</v>
      </c>
      <c r="E314" s="1" t="s">
        <v>334</v>
      </c>
      <c r="F314">
        <f t="shared" si="12"/>
        <v>0</v>
      </c>
      <c r="G314">
        <f t="shared" si="13"/>
        <v>69</v>
      </c>
      <c r="H314" s="1">
        <f t="shared" si="14"/>
        <v>0.205899768115942</v>
      </c>
      <c r="T314" t="s">
        <v>382</v>
      </c>
      <c r="U314">
        <v>41</v>
      </c>
    </row>
    <row r="315" spans="1:21">
      <c r="A315" t="s">
        <v>405</v>
      </c>
      <c r="B315" t="s">
        <v>12</v>
      </c>
      <c r="C315">
        <v>0.03315</v>
      </c>
      <c r="D315">
        <v>3</v>
      </c>
      <c r="E315" s="1" t="s">
        <v>301</v>
      </c>
      <c r="F315">
        <f t="shared" si="12"/>
        <v>107</v>
      </c>
      <c r="G315">
        <f t="shared" si="13"/>
        <v>12</v>
      </c>
      <c r="H315" s="1">
        <f t="shared" si="14"/>
        <v>0.000278571428571429</v>
      </c>
      <c r="T315" t="s">
        <v>387</v>
      </c>
      <c r="U315">
        <v>18</v>
      </c>
    </row>
    <row r="316" spans="1:21">
      <c r="A316" t="s">
        <v>406</v>
      </c>
      <c r="B316" t="s">
        <v>12</v>
      </c>
      <c r="C316">
        <v>0.05234</v>
      </c>
      <c r="D316">
        <v>3</v>
      </c>
      <c r="E316" s="1" t="s">
        <v>10</v>
      </c>
      <c r="F316">
        <f t="shared" si="12"/>
        <v>104</v>
      </c>
      <c r="G316">
        <f t="shared" si="13"/>
        <v>89</v>
      </c>
      <c r="H316" s="1">
        <f t="shared" si="14"/>
        <v>0.00027119170984456</v>
      </c>
      <c r="T316" t="s">
        <v>395</v>
      </c>
      <c r="U316">
        <v>15</v>
      </c>
    </row>
    <row r="317" spans="1:21">
      <c r="A317" t="s">
        <v>345</v>
      </c>
      <c r="B317" t="s">
        <v>12</v>
      </c>
      <c r="C317">
        <v>7.324957</v>
      </c>
      <c r="D317">
        <v>307</v>
      </c>
      <c r="E317" s="1" t="s">
        <v>345</v>
      </c>
      <c r="F317">
        <f t="shared" si="12"/>
        <v>307</v>
      </c>
      <c r="G317">
        <f t="shared" si="13"/>
        <v>4</v>
      </c>
      <c r="H317" s="1">
        <f t="shared" si="14"/>
        <v>0.0235529163987138</v>
      </c>
      <c r="T317" t="s">
        <v>407</v>
      </c>
      <c r="U317">
        <v>16</v>
      </c>
    </row>
    <row r="318" spans="1:21">
      <c r="A318" t="s">
        <v>408</v>
      </c>
      <c r="B318" t="s">
        <v>12</v>
      </c>
      <c r="C318">
        <v>0.02067</v>
      </c>
      <c r="D318">
        <v>5</v>
      </c>
      <c r="E318" s="1" t="s">
        <v>154</v>
      </c>
      <c r="F318">
        <f t="shared" si="12"/>
        <v>282</v>
      </c>
      <c r="G318">
        <f t="shared" si="13"/>
        <v>26</v>
      </c>
      <c r="H318" s="1">
        <f t="shared" si="14"/>
        <v>6.71103896103896e-5</v>
      </c>
      <c r="T318" t="s">
        <v>409</v>
      </c>
      <c r="U318">
        <v>1</v>
      </c>
    </row>
    <row r="319" spans="1:21">
      <c r="A319" t="s">
        <v>410</v>
      </c>
      <c r="B319" t="s">
        <v>9</v>
      </c>
      <c r="C319">
        <v>0.01083</v>
      </c>
      <c r="D319">
        <v>1</v>
      </c>
      <c r="E319" s="1" t="s">
        <v>77</v>
      </c>
      <c r="F319">
        <f t="shared" si="12"/>
        <v>99</v>
      </c>
      <c r="G319">
        <f t="shared" si="13"/>
        <v>19</v>
      </c>
      <c r="H319" s="1">
        <f t="shared" si="14"/>
        <v>9.17796610169491e-5</v>
      </c>
      <c r="T319" t="s">
        <v>411</v>
      </c>
      <c r="U319">
        <v>29</v>
      </c>
    </row>
    <row r="320" spans="1:21">
      <c r="A320" t="s">
        <v>412</v>
      </c>
      <c r="B320" t="s">
        <v>12</v>
      </c>
      <c r="C320">
        <v>0.068145</v>
      </c>
      <c r="D320">
        <v>3</v>
      </c>
      <c r="E320" s="1" t="s">
        <v>284</v>
      </c>
      <c r="F320">
        <f t="shared" si="12"/>
        <v>389</v>
      </c>
      <c r="G320">
        <f t="shared" si="13"/>
        <v>43</v>
      </c>
      <c r="H320" s="1">
        <f t="shared" si="14"/>
        <v>0.000157743055555556</v>
      </c>
      <c r="T320" t="s">
        <v>349</v>
      </c>
      <c r="U320">
        <v>42</v>
      </c>
    </row>
    <row r="321" spans="1:21">
      <c r="A321" t="s">
        <v>413</v>
      </c>
      <c r="B321" t="s">
        <v>12</v>
      </c>
      <c r="C321">
        <v>0.35382</v>
      </c>
      <c r="D321">
        <v>18</v>
      </c>
      <c r="E321" s="1" t="s">
        <v>314</v>
      </c>
      <c r="F321">
        <f t="shared" si="12"/>
        <v>271</v>
      </c>
      <c r="G321">
        <f t="shared" si="13"/>
        <v>53</v>
      </c>
      <c r="H321" s="1">
        <f t="shared" si="14"/>
        <v>0.00109203703703704</v>
      </c>
      <c r="T321" t="s">
        <v>414</v>
      </c>
      <c r="U321">
        <v>1</v>
      </c>
    </row>
    <row r="322" spans="1:21">
      <c r="A322" t="s">
        <v>151</v>
      </c>
      <c r="B322" t="s">
        <v>12</v>
      </c>
      <c r="C322">
        <v>160.14805</v>
      </c>
      <c r="D322">
        <v>66</v>
      </c>
      <c r="E322" s="1" t="s">
        <v>151</v>
      </c>
      <c r="F322">
        <f t="shared" si="12"/>
        <v>66</v>
      </c>
      <c r="G322">
        <f t="shared" si="13"/>
        <v>99</v>
      </c>
      <c r="H322" s="1">
        <f t="shared" si="14"/>
        <v>0.970594242424243</v>
      </c>
      <c r="T322" t="s">
        <v>378</v>
      </c>
      <c r="U322">
        <v>8</v>
      </c>
    </row>
    <row r="323" spans="1:21">
      <c r="A323" t="s">
        <v>415</v>
      </c>
      <c r="B323" t="s">
        <v>12</v>
      </c>
      <c r="C323">
        <v>0.251</v>
      </c>
      <c r="D323">
        <v>24</v>
      </c>
      <c r="E323" s="1" t="s">
        <v>279</v>
      </c>
      <c r="F323">
        <f t="shared" ref="F323:F386" si="15">VLOOKUP(E323,A:D,4,0)</f>
        <v>597</v>
      </c>
      <c r="G323">
        <f t="shared" ref="G323:G386" si="16">VLOOKUP(E323,T:U,2,0)</f>
        <v>80</v>
      </c>
      <c r="H323" s="1">
        <f t="shared" ref="H323:H386" si="17">C323/(F323+G323)</f>
        <v>0.000370753323485967</v>
      </c>
      <c r="T323" t="s">
        <v>416</v>
      </c>
      <c r="U323">
        <v>77</v>
      </c>
    </row>
    <row r="324" spans="1:21">
      <c r="A324" t="s">
        <v>257</v>
      </c>
      <c r="B324" t="s">
        <v>12</v>
      </c>
      <c r="C324">
        <v>29.72639</v>
      </c>
      <c r="D324">
        <v>33</v>
      </c>
      <c r="E324" s="1" t="s">
        <v>257</v>
      </c>
      <c r="F324">
        <f t="shared" si="15"/>
        <v>33</v>
      </c>
      <c r="G324">
        <f t="shared" si="16"/>
        <v>6</v>
      </c>
      <c r="H324" s="1">
        <f t="shared" si="17"/>
        <v>0.762215128205128</v>
      </c>
      <c r="T324" t="s">
        <v>190</v>
      </c>
      <c r="U324">
        <v>69</v>
      </c>
    </row>
    <row r="325" spans="1:21">
      <c r="A325" t="s">
        <v>153</v>
      </c>
      <c r="B325" t="s">
        <v>12</v>
      </c>
      <c r="C325">
        <v>74.637101</v>
      </c>
      <c r="D325">
        <v>1</v>
      </c>
      <c r="E325" s="1" t="s">
        <v>153</v>
      </c>
      <c r="F325">
        <f t="shared" si="15"/>
        <v>1</v>
      </c>
      <c r="G325">
        <f t="shared" si="16"/>
        <v>94</v>
      </c>
      <c r="H325" s="1">
        <f t="shared" si="17"/>
        <v>0.785653694736842</v>
      </c>
      <c r="T325" t="s">
        <v>417</v>
      </c>
      <c r="U325">
        <v>86</v>
      </c>
    </row>
    <row r="326" spans="1:21">
      <c r="A326" t="s">
        <v>418</v>
      </c>
      <c r="B326" t="s">
        <v>9</v>
      </c>
      <c r="C326">
        <v>0.10323</v>
      </c>
      <c r="D326">
        <v>4</v>
      </c>
      <c r="E326" s="1" t="s">
        <v>148</v>
      </c>
      <c r="F326">
        <f t="shared" si="15"/>
        <v>167</v>
      </c>
      <c r="G326">
        <f t="shared" si="16"/>
        <v>9</v>
      </c>
      <c r="H326" s="1">
        <f t="shared" si="17"/>
        <v>0.000586534090909091</v>
      </c>
      <c r="T326" t="s">
        <v>419</v>
      </c>
      <c r="U326">
        <v>118</v>
      </c>
    </row>
    <row r="327" spans="1:21">
      <c r="A327" t="s">
        <v>420</v>
      </c>
      <c r="B327" t="s">
        <v>12</v>
      </c>
      <c r="C327">
        <v>0.99504</v>
      </c>
      <c r="D327">
        <v>3</v>
      </c>
      <c r="E327" s="1" t="s">
        <v>69</v>
      </c>
      <c r="F327">
        <f t="shared" si="15"/>
        <v>119</v>
      </c>
      <c r="G327">
        <f t="shared" si="16"/>
        <v>86</v>
      </c>
      <c r="H327" s="1">
        <f t="shared" si="17"/>
        <v>0.00485385365853659</v>
      </c>
      <c r="T327" t="s">
        <v>384</v>
      </c>
      <c r="U327">
        <v>172</v>
      </c>
    </row>
    <row r="328" spans="1:21">
      <c r="A328" t="s">
        <v>256</v>
      </c>
      <c r="B328" t="s">
        <v>12</v>
      </c>
      <c r="C328">
        <v>70.412222</v>
      </c>
      <c r="D328">
        <v>68</v>
      </c>
      <c r="E328" s="1" t="s">
        <v>256</v>
      </c>
      <c r="F328">
        <f t="shared" si="15"/>
        <v>68</v>
      </c>
      <c r="G328">
        <f t="shared" si="16"/>
        <v>13</v>
      </c>
      <c r="H328" s="1">
        <f t="shared" si="17"/>
        <v>0.869286691358025</v>
      </c>
      <c r="T328" t="s">
        <v>158</v>
      </c>
      <c r="U328">
        <v>8</v>
      </c>
    </row>
    <row r="329" spans="1:21">
      <c r="A329" t="s">
        <v>421</v>
      </c>
      <c r="B329" t="s">
        <v>12</v>
      </c>
      <c r="C329">
        <v>0.00236</v>
      </c>
      <c r="D329">
        <v>2</v>
      </c>
      <c r="E329" s="1" t="s">
        <v>69</v>
      </c>
      <c r="F329">
        <f t="shared" si="15"/>
        <v>119</v>
      </c>
      <c r="G329">
        <f t="shared" si="16"/>
        <v>86</v>
      </c>
      <c r="H329" s="1">
        <f t="shared" si="17"/>
        <v>1.15121951219512e-5</v>
      </c>
      <c r="T329" t="s">
        <v>250</v>
      </c>
      <c r="U329">
        <v>12</v>
      </c>
    </row>
    <row r="330" spans="1:21">
      <c r="A330" t="s">
        <v>422</v>
      </c>
      <c r="B330" t="s">
        <v>12</v>
      </c>
      <c r="C330">
        <v>0.037176</v>
      </c>
      <c r="D330">
        <v>5</v>
      </c>
      <c r="E330" s="1" t="s">
        <v>336</v>
      </c>
      <c r="F330">
        <f t="shared" si="15"/>
        <v>280</v>
      </c>
      <c r="G330">
        <f t="shared" si="16"/>
        <v>91</v>
      </c>
      <c r="H330" s="1">
        <f t="shared" si="17"/>
        <v>0.000100204851752022</v>
      </c>
      <c r="T330" t="s">
        <v>275</v>
      </c>
      <c r="U330">
        <v>20</v>
      </c>
    </row>
    <row r="331" spans="1:21">
      <c r="A331" t="s">
        <v>407</v>
      </c>
      <c r="B331" t="s">
        <v>12</v>
      </c>
      <c r="C331">
        <v>96.443993</v>
      </c>
      <c r="D331">
        <v>56</v>
      </c>
      <c r="E331" s="1" t="s">
        <v>407</v>
      </c>
      <c r="F331">
        <f t="shared" si="15"/>
        <v>56</v>
      </c>
      <c r="G331">
        <f t="shared" si="16"/>
        <v>16</v>
      </c>
      <c r="H331" s="1">
        <f t="shared" si="17"/>
        <v>1.33949990277778</v>
      </c>
      <c r="T331" t="s">
        <v>423</v>
      </c>
      <c r="U331">
        <v>2</v>
      </c>
    </row>
    <row r="332" spans="1:21">
      <c r="A332" t="s">
        <v>424</v>
      </c>
      <c r="B332" t="s">
        <v>12</v>
      </c>
      <c r="C332">
        <v>0.36132</v>
      </c>
      <c r="D332">
        <v>7</v>
      </c>
      <c r="E332" s="1" t="s">
        <v>57</v>
      </c>
      <c r="F332">
        <f t="shared" si="15"/>
        <v>211</v>
      </c>
      <c r="G332">
        <f t="shared" si="16"/>
        <v>55</v>
      </c>
      <c r="H332" s="1">
        <f t="shared" si="17"/>
        <v>0.00135834586466165</v>
      </c>
      <c r="T332" t="s">
        <v>425</v>
      </c>
      <c r="U332">
        <v>3</v>
      </c>
    </row>
    <row r="333" spans="1:21">
      <c r="A333" t="s">
        <v>426</v>
      </c>
      <c r="B333" t="s">
        <v>12</v>
      </c>
      <c r="C333">
        <v>0.05343</v>
      </c>
      <c r="D333">
        <v>3</v>
      </c>
      <c r="E333" s="1" t="s">
        <v>10</v>
      </c>
      <c r="F333">
        <f t="shared" si="15"/>
        <v>104</v>
      </c>
      <c r="G333">
        <f t="shared" si="16"/>
        <v>89</v>
      </c>
      <c r="H333" s="1">
        <f t="shared" si="17"/>
        <v>0.000276839378238342</v>
      </c>
      <c r="T333" t="s">
        <v>427</v>
      </c>
      <c r="U333">
        <v>5</v>
      </c>
    </row>
    <row r="334" spans="1:21">
      <c r="A334" t="s">
        <v>428</v>
      </c>
      <c r="B334" t="s">
        <v>12</v>
      </c>
      <c r="C334">
        <v>0.11613</v>
      </c>
      <c r="D334">
        <v>5</v>
      </c>
      <c r="E334" s="1" t="s">
        <v>127</v>
      </c>
      <c r="F334">
        <f t="shared" si="15"/>
        <v>0</v>
      </c>
      <c r="G334">
        <f t="shared" si="16"/>
        <v>21</v>
      </c>
      <c r="H334" s="1">
        <f t="shared" si="17"/>
        <v>0.00553</v>
      </c>
      <c r="T334" t="s">
        <v>92</v>
      </c>
      <c r="U334">
        <v>38</v>
      </c>
    </row>
    <row r="335" spans="1:21">
      <c r="A335" t="s">
        <v>429</v>
      </c>
      <c r="B335" t="s">
        <v>12</v>
      </c>
      <c r="C335">
        <v>0.23604</v>
      </c>
      <c r="D335">
        <v>10</v>
      </c>
      <c r="E335" s="1" t="s">
        <v>107</v>
      </c>
      <c r="F335">
        <f t="shared" si="15"/>
        <v>140</v>
      </c>
      <c r="G335">
        <f t="shared" si="16"/>
        <v>130</v>
      </c>
      <c r="H335" s="1">
        <f t="shared" si="17"/>
        <v>0.000874222222222222</v>
      </c>
      <c r="T335" t="s">
        <v>205</v>
      </c>
      <c r="U335">
        <v>30</v>
      </c>
    </row>
    <row r="336" spans="1:21">
      <c r="A336" t="s">
        <v>430</v>
      </c>
      <c r="B336" t="s">
        <v>9</v>
      </c>
      <c r="C336">
        <v>0.0105</v>
      </c>
      <c r="D336">
        <v>4</v>
      </c>
      <c r="E336" s="1" t="s">
        <v>64</v>
      </c>
      <c r="F336">
        <f t="shared" si="15"/>
        <v>329</v>
      </c>
      <c r="G336">
        <f t="shared" si="16"/>
        <v>29</v>
      </c>
      <c r="H336" s="1">
        <f t="shared" si="17"/>
        <v>2.93296089385475e-5</v>
      </c>
      <c r="T336" t="s">
        <v>376</v>
      </c>
      <c r="U336">
        <v>15</v>
      </c>
    </row>
    <row r="337" spans="1:21">
      <c r="A337" t="s">
        <v>215</v>
      </c>
      <c r="B337" t="s">
        <v>12</v>
      </c>
      <c r="C337">
        <v>124.478461</v>
      </c>
      <c r="D337">
        <v>48</v>
      </c>
      <c r="E337" s="1" t="s">
        <v>215</v>
      </c>
      <c r="F337">
        <f t="shared" si="15"/>
        <v>48</v>
      </c>
      <c r="G337">
        <f t="shared" si="16"/>
        <v>56</v>
      </c>
      <c r="H337" s="1">
        <f t="shared" si="17"/>
        <v>1.19690827884615</v>
      </c>
      <c r="T337" t="s">
        <v>366</v>
      </c>
      <c r="U337">
        <v>73</v>
      </c>
    </row>
    <row r="338" spans="1:21">
      <c r="A338" t="s">
        <v>431</v>
      </c>
      <c r="B338" t="s">
        <v>12</v>
      </c>
      <c r="C338">
        <v>0.04305</v>
      </c>
      <c r="D338">
        <v>10</v>
      </c>
      <c r="E338" s="1" t="s">
        <v>226</v>
      </c>
      <c r="F338">
        <f t="shared" si="15"/>
        <v>428</v>
      </c>
      <c r="G338">
        <f t="shared" si="16"/>
        <v>311</v>
      </c>
      <c r="H338" s="1">
        <f t="shared" si="17"/>
        <v>5.8254397834912e-5</v>
      </c>
      <c r="T338" t="s">
        <v>365</v>
      </c>
      <c r="U338">
        <v>73</v>
      </c>
    </row>
    <row r="339" spans="1:21">
      <c r="A339" t="s">
        <v>432</v>
      </c>
      <c r="B339" t="s">
        <v>12</v>
      </c>
      <c r="C339">
        <v>0.023176</v>
      </c>
      <c r="D339">
        <v>5</v>
      </c>
      <c r="E339" s="1" t="s">
        <v>69</v>
      </c>
      <c r="F339">
        <f t="shared" si="15"/>
        <v>119</v>
      </c>
      <c r="G339">
        <f t="shared" si="16"/>
        <v>86</v>
      </c>
      <c r="H339" s="1">
        <f t="shared" si="17"/>
        <v>0.000113053658536585</v>
      </c>
      <c r="T339" t="s">
        <v>433</v>
      </c>
      <c r="U339">
        <v>56</v>
      </c>
    </row>
    <row r="340" spans="1:21">
      <c r="A340" t="s">
        <v>434</v>
      </c>
      <c r="B340" t="s">
        <v>12</v>
      </c>
      <c r="C340">
        <v>0.10455</v>
      </c>
      <c r="D340">
        <v>10</v>
      </c>
      <c r="E340" s="1" t="s">
        <v>255</v>
      </c>
      <c r="F340">
        <f t="shared" si="15"/>
        <v>302</v>
      </c>
      <c r="G340">
        <f t="shared" si="16"/>
        <v>128</v>
      </c>
      <c r="H340" s="1">
        <f t="shared" si="17"/>
        <v>0.000243139534883721</v>
      </c>
      <c r="T340" t="s">
        <v>435</v>
      </c>
      <c r="U340">
        <v>1</v>
      </c>
    </row>
    <row r="341" spans="1:21">
      <c r="A341" t="s">
        <v>436</v>
      </c>
      <c r="B341" t="s">
        <v>12</v>
      </c>
      <c r="C341">
        <v>0.0167</v>
      </c>
      <c r="D341">
        <v>2</v>
      </c>
      <c r="E341" s="1" t="s">
        <v>123</v>
      </c>
      <c r="F341">
        <f t="shared" si="15"/>
        <v>316</v>
      </c>
      <c r="G341">
        <f t="shared" si="16"/>
        <v>109</v>
      </c>
      <c r="H341" s="1">
        <f t="shared" si="17"/>
        <v>3.92941176470588e-5</v>
      </c>
      <c r="T341" t="s">
        <v>335</v>
      </c>
      <c r="U341">
        <v>154</v>
      </c>
    </row>
    <row r="342" spans="1:21">
      <c r="A342" t="s">
        <v>411</v>
      </c>
      <c r="B342" t="s">
        <v>12</v>
      </c>
      <c r="C342">
        <v>21.569545</v>
      </c>
      <c r="D342">
        <v>0</v>
      </c>
      <c r="E342" s="1" t="s">
        <v>411</v>
      </c>
      <c r="F342">
        <f t="shared" si="15"/>
        <v>0</v>
      </c>
      <c r="G342">
        <f t="shared" si="16"/>
        <v>29</v>
      </c>
      <c r="H342" s="1">
        <f t="shared" si="17"/>
        <v>0.743777413793103</v>
      </c>
      <c r="T342" t="s">
        <v>437</v>
      </c>
      <c r="U342">
        <v>14</v>
      </c>
    </row>
    <row r="343" spans="1:21">
      <c r="A343" t="s">
        <v>438</v>
      </c>
      <c r="B343" t="s">
        <v>12</v>
      </c>
      <c r="C343">
        <v>0.019</v>
      </c>
      <c r="D343">
        <v>2</v>
      </c>
      <c r="E343" s="1" t="s">
        <v>136</v>
      </c>
      <c r="F343">
        <f t="shared" si="15"/>
        <v>60</v>
      </c>
      <c r="G343">
        <f t="shared" si="16"/>
        <v>23</v>
      </c>
      <c r="H343" s="1">
        <f t="shared" si="17"/>
        <v>0.000228915662650602</v>
      </c>
      <c r="T343" t="s">
        <v>439</v>
      </c>
      <c r="U343">
        <v>22</v>
      </c>
    </row>
    <row r="344" spans="1:21">
      <c r="A344" t="s">
        <v>440</v>
      </c>
      <c r="B344" t="s">
        <v>12</v>
      </c>
      <c r="C344">
        <v>0.0475</v>
      </c>
      <c r="D344">
        <v>5</v>
      </c>
      <c r="E344" s="1" t="s">
        <v>346</v>
      </c>
      <c r="F344">
        <f t="shared" si="15"/>
        <v>22</v>
      </c>
      <c r="G344">
        <v>0</v>
      </c>
      <c r="H344" s="1">
        <f t="shared" si="17"/>
        <v>0.00215909090909091</v>
      </c>
      <c r="T344" t="s">
        <v>441</v>
      </c>
      <c r="U344">
        <v>18</v>
      </c>
    </row>
    <row r="345" spans="1:21">
      <c r="A345" t="s">
        <v>442</v>
      </c>
      <c r="B345" t="s">
        <v>12</v>
      </c>
      <c r="C345">
        <v>0.03075</v>
      </c>
      <c r="D345">
        <v>5</v>
      </c>
      <c r="E345" s="1" t="s">
        <v>228</v>
      </c>
      <c r="F345">
        <f t="shared" si="15"/>
        <v>58</v>
      </c>
      <c r="G345">
        <f t="shared" si="16"/>
        <v>16</v>
      </c>
      <c r="H345" s="1">
        <f t="shared" si="17"/>
        <v>0.000415540540540541</v>
      </c>
      <c r="T345" t="s">
        <v>300</v>
      </c>
      <c r="U345">
        <v>155</v>
      </c>
    </row>
    <row r="346" spans="1:21">
      <c r="A346" t="s">
        <v>443</v>
      </c>
      <c r="B346" t="s">
        <v>12</v>
      </c>
      <c r="C346">
        <v>0.10626</v>
      </c>
      <c r="D346">
        <v>6</v>
      </c>
      <c r="E346" s="1" t="s">
        <v>263</v>
      </c>
      <c r="F346">
        <f t="shared" si="15"/>
        <v>71</v>
      </c>
      <c r="G346">
        <f t="shared" si="16"/>
        <v>87</v>
      </c>
      <c r="H346" s="1">
        <f t="shared" si="17"/>
        <v>0.00067253164556962</v>
      </c>
      <c r="T346" t="s">
        <v>321</v>
      </c>
      <c r="U346">
        <v>68</v>
      </c>
    </row>
    <row r="347" spans="1:21">
      <c r="A347" t="s">
        <v>218</v>
      </c>
      <c r="B347" t="s">
        <v>9</v>
      </c>
      <c r="C347">
        <v>767.8573</v>
      </c>
      <c r="D347">
        <v>316</v>
      </c>
      <c r="E347" s="1" t="s">
        <v>218</v>
      </c>
      <c r="F347">
        <f t="shared" si="15"/>
        <v>316</v>
      </c>
      <c r="G347">
        <f t="shared" si="16"/>
        <v>7</v>
      </c>
      <c r="H347" s="1">
        <f t="shared" si="17"/>
        <v>2.37726718266254</v>
      </c>
      <c r="T347" t="s">
        <v>93</v>
      </c>
      <c r="U347">
        <v>45</v>
      </c>
    </row>
    <row r="348" spans="1:21">
      <c r="A348" t="s">
        <v>175</v>
      </c>
      <c r="B348" t="s">
        <v>12</v>
      </c>
      <c r="C348">
        <v>11.086432</v>
      </c>
      <c r="D348">
        <v>126</v>
      </c>
      <c r="E348" s="1" t="s">
        <v>175</v>
      </c>
      <c r="F348">
        <f t="shared" si="15"/>
        <v>126</v>
      </c>
      <c r="G348">
        <f t="shared" si="16"/>
        <v>104</v>
      </c>
      <c r="H348" s="1">
        <f t="shared" si="17"/>
        <v>0.0482018782608696</v>
      </c>
      <c r="T348" t="s">
        <v>222</v>
      </c>
      <c r="U348">
        <v>49</v>
      </c>
    </row>
    <row r="349" spans="1:21">
      <c r="A349" t="s">
        <v>444</v>
      </c>
      <c r="B349" t="s">
        <v>12</v>
      </c>
      <c r="C349">
        <v>0.020336</v>
      </c>
      <c r="D349">
        <v>1</v>
      </c>
      <c r="E349" s="1" t="s">
        <v>325</v>
      </c>
      <c r="F349">
        <f t="shared" si="15"/>
        <v>419</v>
      </c>
      <c r="G349">
        <f t="shared" si="16"/>
        <v>203</v>
      </c>
      <c r="H349" s="1">
        <f t="shared" si="17"/>
        <v>3.26945337620579e-5</v>
      </c>
      <c r="T349" t="s">
        <v>445</v>
      </c>
      <c r="U349">
        <v>1</v>
      </c>
    </row>
    <row r="350" spans="1:21">
      <c r="A350" t="s">
        <v>296</v>
      </c>
      <c r="B350" t="s">
        <v>12</v>
      </c>
      <c r="C350">
        <v>99.304551</v>
      </c>
      <c r="D350">
        <v>233</v>
      </c>
      <c r="E350" s="1" t="s">
        <v>296</v>
      </c>
      <c r="F350">
        <f t="shared" si="15"/>
        <v>233</v>
      </c>
      <c r="G350">
        <f t="shared" si="16"/>
        <v>74</v>
      </c>
      <c r="H350" s="1">
        <f t="shared" si="17"/>
        <v>0.323467592833876</v>
      </c>
      <c r="T350" t="s">
        <v>357</v>
      </c>
      <c r="U350">
        <v>139</v>
      </c>
    </row>
    <row r="351" spans="1:21">
      <c r="A351" t="s">
        <v>446</v>
      </c>
      <c r="B351" t="s">
        <v>12</v>
      </c>
      <c r="C351">
        <v>0.255</v>
      </c>
      <c r="D351">
        <v>11</v>
      </c>
      <c r="E351" s="1" t="s">
        <v>13</v>
      </c>
      <c r="F351">
        <f t="shared" si="15"/>
        <v>36</v>
      </c>
      <c r="G351">
        <f t="shared" si="16"/>
        <v>35</v>
      </c>
      <c r="H351" s="1">
        <f t="shared" si="17"/>
        <v>0.00359154929577465</v>
      </c>
      <c r="T351" t="s">
        <v>289</v>
      </c>
      <c r="U351">
        <v>184</v>
      </c>
    </row>
    <row r="352" spans="1:21">
      <c r="A352" t="s">
        <v>447</v>
      </c>
      <c r="B352" t="s">
        <v>12</v>
      </c>
      <c r="C352">
        <v>0.08231</v>
      </c>
      <c r="D352">
        <v>1</v>
      </c>
      <c r="E352" s="1" t="s">
        <v>27</v>
      </c>
      <c r="F352">
        <f t="shared" si="15"/>
        <v>899</v>
      </c>
      <c r="G352">
        <f t="shared" si="16"/>
        <v>265</v>
      </c>
      <c r="H352" s="1">
        <f t="shared" si="17"/>
        <v>7.0713058419244e-5</v>
      </c>
      <c r="T352" t="s">
        <v>304</v>
      </c>
      <c r="U352">
        <v>35</v>
      </c>
    </row>
    <row r="353" spans="1:21">
      <c r="A353" t="s">
        <v>448</v>
      </c>
      <c r="B353" t="s">
        <v>12</v>
      </c>
      <c r="C353">
        <v>0.109002</v>
      </c>
      <c r="D353">
        <v>9</v>
      </c>
      <c r="E353" s="1" t="s">
        <v>182</v>
      </c>
      <c r="F353">
        <f t="shared" si="15"/>
        <v>455</v>
      </c>
      <c r="G353">
        <f t="shared" si="16"/>
        <v>118</v>
      </c>
      <c r="H353" s="1">
        <f t="shared" si="17"/>
        <v>0.000190230366492147</v>
      </c>
      <c r="T353" t="s">
        <v>318</v>
      </c>
      <c r="U353">
        <v>130</v>
      </c>
    </row>
    <row r="354" spans="1:21">
      <c r="A354" t="s">
        <v>449</v>
      </c>
      <c r="B354" t="s">
        <v>12</v>
      </c>
      <c r="C354">
        <v>0.40471</v>
      </c>
      <c r="D354">
        <v>23</v>
      </c>
      <c r="E354" s="1" t="s">
        <v>297</v>
      </c>
      <c r="F354">
        <f t="shared" si="15"/>
        <v>657</v>
      </c>
      <c r="G354">
        <f t="shared" si="16"/>
        <v>237</v>
      </c>
      <c r="H354" s="1">
        <f t="shared" si="17"/>
        <v>0.000452695749440716</v>
      </c>
      <c r="T354" t="s">
        <v>337</v>
      </c>
      <c r="U354">
        <v>141</v>
      </c>
    </row>
    <row r="355" spans="1:21">
      <c r="A355" t="s">
        <v>450</v>
      </c>
      <c r="B355" t="s">
        <v>12</v>
      </c>
      <c r="C355">
        <v>1.532724</v>
      </c>
      <c r="D355">
        <v>3</v>
      </c>
      <c r="E355" s="1" t="s">
        <v>166</v>
      </c>
      <c r="F355">
        <f t="shared" si="15"/>
        <v>335</v>
      </c>
      <c r="G355">
        <f t="shared" si="16"/>
        <v>92</v>
      </c>
      <c r="H355" s="1">
        <f t="shared" si="17"/>
        <v>0.00358951756440281</v>
      </c>
      <c r="T355" t="s">
        <v>344</v>
      </c>
      <c r="U355">
        <v>84</v>
      </c>
    </row>
    <row r="356" spans="1:21">
      <c r="A356" t="s">
        <v>451</v>
      </c>
      <c r="B356" t="s">
        <v>12</v>
      </c>
      <c r="C356">
        <v>0.11919</v>
      </c>
      <c r="D356">
        <v>7</v>
      </c>
      <c r="E356" s="1" t="s">
        <v>110</v>
      </c>
      <c r="F356">
        <f t="shared" si="15"/>
        <v>666</v>
      </c>
      <c r="G356">
        <f t="shared" si="16"/>
        <v>129</v>
      </c>
      <c r="H356" s="1">
        <f t="shared" si="17"/>
        <v>0.000149924528301887</v>
      </c>
      <c r="T356" t="s">
        <v>452</v>
      </c>
      <c r="U356">
        <v>77</v>
      </c>
    </row>
    <row r="357" spans="1:8">
      <c r="A357" t="s">
        <v>453</v>
      </c>
      <c r="B357" t="s">
        <v>12</v>
      </c>
      <c r="C357">
        <v>0.277283</v>
      </c>
      <c r="D357">
        <v>8</v>
      </c>
      <c r="E357" s="1" t="s">
        <v>175</v>
      </c>
      <c r="F357">
        <f t="shared" si="15"/>
        <v>126</v>
      </c>
      <c r="G357">
        <f t="shared" si="16"/>
        <v>104</v>
      </c>
      <c r="H357" s="1">
        <f t="shared" si="17"/>
        <v>0.00120557826086957</v>
      </c>
    </row>
    <row r="358" spans="1:8">
      <c r="A358" t="s">
        <v>454</v>
      </c>
      <c r="B358" t="s">
        <v>12</v>
      </c>
      <c r="C358">
        <v>0.0177</v>
      </c>
      <c r="D358">
        <v>5</v>
      </c>
      <c r="E358" s="1" t="s">
        <v>123</v>
      </c>
      <c r="F358">
        <f t="shared" si="15"/>
        <v>316</v>
      </c>
      <c r="G358">
        <f t="shared" si="16"/>
        <v>109</v>
      </c>
      <c r="H358" s="1">
        <f t="shared" si="17"/>
        <v>4.16470588235294e-5</v>
      </c>
    </row>
    <row r="359" spans="1:8">
      <c r="A359" t="s">
        <v>455</v>
      </c>
      <c r="B359" t="s">
        <v>12</v>
      </c>
      <c r="C359">
        <v>0.0315</v>
      </c>
      <c r="D359">
        <v>3</v>
      </c>
      <c r="E359" s="1" t="s">
        <v>267</v>
      </c>
      <c r="F359">
        <f t="shared" si="15"/>
        <v>0</v>
      </c>
      <c r="G359">
        <f t="shared" si="16"/>
        <v>2</v>
      </c>
      <c r="H359" s="1">
        <f t="shared" si="17"/>
        <v>0.01575</v>
      </c>
    </row>
    <row r="360" spans="1:8">
      <c r="A360" t="s">
        <v>456</v>
      </c>
      <c r="B360" t="s">
        <v>12</v>
      </c>
      <c r="C360">
        <v>0.0525</v>
      </c>
      <c r="D360">
        <v>5</v>
      </c>
      <c r="E360" s="1" t="s">
        <v>104</v>
      </c>
      <c r="F360">
        <f t="shared" si="15"/>
        <v>1</v>
      </c>
      <c r="G360">
        <f t="shared" si="16"/>
        <v>53</v>
      </c>
      <c r="H360" s="1">
        <f t="shared" si="17"/>
        <v>0.000972222222222222</v>
      </c>
    </row>
    <row r="361" spans="1:8">
      <c r="A361" t="s">
        <v>457</v>
      </c>
      <c r="B361" t="s">
        <v>12</v>
      </c>
      <c r="C361">
        <v>0.03252</v>
      </c>
      <c r="D361">
        <v>3</v>
      </c>
      <c r="E361" s="1" t="s">
        <v>329</v>
      </c>
      <c r="F361">
        <v>0</v>
      </c>
      <c r="G361">
        <f t="shared" si="16"/>
        <v>2</v>
      </c>
      <c r="H361" s="1">
        <f t="shared" si="17"/>
        <v>0.01626</v>
      </c>
    </row>
    <row r="362" spans="1:8">
      <c r="A362" t="s">
        <v>458</v>
      </c>
      <c r="B362" t="s">
        <v>12</v>
      </c>
      <c r="C362">
        <v>0.02949</v>
      </c>
      <c r="D362">
        <v>5</v>
      </c>
      <c r="E362" s="1" t="s">
        <v>59</v>
      </c>
      <c r="F362">
        <f t="shared" si="15"/>
        <v>203</v>
      </c>
      <c r="G362">
        <f t="shared" si="16"/>
        <v>74</v>
      </c>
      <c r="H362" s="1">
        <f t="shared" si="17"/>
        <v>0.000106462093862816</v>
      </c>
    </row>
    <row r="363" spans="1:8">
      <c r="A363" t="s">
        <v>459</v>
      </c>
      <c r="B363" t="s">
        <v>12</v>
      </c>
      <c r="C363">
        <v>0.031772</v>
      </c>
      <c r="D363">
        <v>5</v>
      </c>
      <c r="E363" s="1" t="s">
        <v>366</v>
      </c>
      <c r="F363">
        <f t="shared" si="15"/>
        <v>161</v>
      </c>
      <c r="G363">
        <f t="shared" si="16"/>
        <v>73</v>
      </c>
      <c r="H363" s="1">
        <f t="shared" si="17"/>
        <v>0.000135777777777778</v>
      </c>
    </row>
    <row r="364" spans="1:8">
      <c r="A364" t="s">
        <v>460</v>
      </c>
      <c r="B364" t="s">
        <v>12</v>
      </c>
      <c r="C364">
        <v>0.26718</v>
      </c>
      <c r="D364">
        <v>1</v>
      </c>
      <c r="E364" s="1" t="s">
        <v>211</v>
      </c>
      <c r="F364">
        <f t="shared" si="15"/>
        <v>178</v>
      </c>
      <c r="G364">
        <f t="shared" si="16"/>
        <v>48</v>
      </c>
      <c r="H364" s="1">
        <f t="shared" si="17"/>
        <v>0.00118221238938053</v>
      </c>
    </row>
    <row r="365" spans="1:8">
      <c r="A365" t="s">
        <v>263</v>
      </c>
      <c r="B365" t="s">
        <v>12</v>
      </c>
      <c r="C365">
        <v>0.143461</v>
      </c>
      <c r="D365">
        <v>71</v>
      </c>
      <c r="E365" s="1" t="s">
        <v>263</v>
      </c>
      <c r="F365">
        <f t="shared" si="15"/>
        <v>71</v>
      </c>
      <c r="G365">
        <f t="shared" si="16"/>
        <v>87</v>
      </c>
      <c r="H365" s="1">
        <f t="shared" si="17"/>
        <v>0.000907981012658228</v>
      </c>
    </row>
    <row r="366" spans="1:8">
      <c r="A366" t="s">
        <v>461</v>
      </c>
      <c r="B366" t="s">
        <v>12</v>
      </c>
      <c r="C366">
        <v>0.02875</v>
      </c>
      <c r="D366">
        <v>22</v>
      </c>
      <c r="E366" s="1" t="s">
        <v>34</v>
      </c>
      <c r="F366">
        <f t="shared" si="15"/>
        <v>489</v>
      </c>
      <c r="G366">
        <f t="shared" si="16"/>
        <v>139</v>
      </c>
      <c r="H366" s="1">
        <f t="shared" si="17"/>
        <v>4.57802547770701e-5</v>
      </c>
    </row>
    <row r="367" spans="1:8">
      <c r="A367" t="s">
        <v>462</v>
      </c>
      <c r="B367" t="s">
        <v>12</v>
      </c>
      <c r="C367">
        <v>0.059737</v>
      </c>
      <c r="D367">
        <v>4</v>
      </c>
      <c r="E367" s="1" t="s">
        <v>85</v>
      </c>
      <c r="F367">
        <f t="shared" si="15"/>
        <v>244</v>
      </c>
      <c r="G367">
        <f t="shared" si="16"/>
        <v>43</v>
      </c>
      <c r="H367" s="1">
        <f t="shared" si="17"/>
        <v>0.000208142857142857</v>
      </c>
    </row>
    <row r="368" spans="1:8">
      <c r="A368" t="s">
        <v>107</v>
      </c>
      <c r="B368" t="s">
        <v>12</v>
      </c>
      <c r="C368">
        <v>38.645048</v>
      </c>
      <c r="D368">
        <v>140</v>
      </c>
      <c r="E368" s="1" t="s">
        <v>107</v>
      </c>
      <c r="F368">
        <f t="shared" si="15"/>
        <v>140</v>
      </c>
      <c r="G368">
        <f t="shared" si="16"/>
        <v>130</v>
      </c>
      <c r="H368" s="1">
        <f t="shared" si="17"/>
        <v>0.143129807407407</v>
      </c>
    </row>
    <row r="369" spans="1:8">
      <c r="A369" t="s">
        <v>347</v>
      </c>
      <c r="B369" t="s">
        <v>12</v>
      </c>
      <c r="C369">
        <v>2.490483</v>
      </c>
      <c r="D369">
        <v>226</v>
      </c>
      <c r="E369" s="1" t="s">
        <v>347</v>
      </c>
      <c r="F369">
        <f t="shared" si="15"/>
        <v>226</v>
      </c>
      <c r="G369">
        <f t="shared" si="16"/>
        <v>64</v>
      </c>
      <c r="H369" s="1">
        <f t="shared" si="17"/>
        <v>0.0085878724137931</v>
      </c>
    </row>
    <row r="370" spans="1:8">
      <c r="A370" t="s">
        <v>463</v>
      </c>
      <c r="B370" t="s">
        <v>12</v>
      </c>
      <c r="C370">
        <v>0.07743</v>
      </c>
      <c r="D370">
        <v>5</v>
      </c>
      <c r="E370" s="1" t="s">
        <v>229</v>
      </c>
      <c r="F370">
        <f t="shared" si="15"/>
        <v>128</v>
      </c>
      <c r="G370">
        <f t="shared" si="16"/>
        <v>143</v>
      </c>
      <c r="H370" s="1">
        <f t="shared" si="17"/>
        <v>0.000285719557195572</v>
      </c>
    </row>
    <row r="371" spans="1:8">
      <c r="A371" t="s">
        <v>464</v>
      </c>
      <c r="B371" t="s">
        <v>12</v>
      </c>
      <c r="C371">
        <v>0.05878</v>
      </c>
      <c r="D371">
        <v>5</v>
      </c>
      <c r="E371" s="1" t="s">
        <v>44</v>
      </c>
      <c r="F371">
        <f t="shared" si="15"/>
        <v>98</v>
      </c>
      <c r="G371">
        <f t="shared" si="16"/>
        <v>11</v>
      </c>
      <c r="H371" s="1">
        <f t="shared" si="17"/>
        <v>0.000539266055045872</v>
      </c>
    </row>
    <row r="372" spans="1:8">
      <c r="A372" t="s">
        <v>465</v>
      </c>
      <c r="B372" t="s">
        <v>12</v>
      </c>
      <c r="C372">
        <v>0.0258</v>
      </c>
      <c r="D372">
        <v>1</v>
      </c>
      <c r="E372" s="1" t="s">
        <v>465</v>
      </c>
      <c r="F372">
        <f t="shared" si="15"/>
        <v>1</v>
      </c>
      <c r="G372">
        <v>0</v>
      </c>
      <c r="H372" s="1">
        <f t="shared" si="17"/>
        <v>0.0258</v>
      </c>
    </row>
    <row r="373" spans="1:8">
      <c r="A373" t="s">
        <v>466</v>
      </c>
      <c r="B373" t="s">
        <v>12</v>
      </c>
      <c r="C373">
        <v>0.209711</v>
      </c>
      <c r="D373">
        <v>0</v>
      </c>
      <c r="E373" s="1" t="s">
        <v>314</v>
      </c>
      <c r="F373">
        <f t="shared" si="15"/>
        <v>271</v>
      </c>
      <c r="G373">
        <f t="shared" si="16"/>
        <v>53</v>
      </c>
      <c r="H373" s="1">
        <f t="shared" si="17"/>
        <v>0.000647256172839506</v>
      </c>
    </row>
    <row r="374" spans="1:8">
      <c r="A374" t="s">
        <v>467</v>
      </c>
      <c r="B374" t="s">
        <v>12</v>
      </c>
      <c r="C374">
        <v>0.59019</v>
      </c>
      <c r="D374">
        <v>4</v>
      </c>
      <c r="E374" s="1" t="s">
        <v>287</v>
      </c>
      <c r="F374">
        <f t="shared" si="15"/>
        <v>454</v>
      </c>
      <c r="G374">
        <f t="shared" si="16"/>
        <v>166</v>
      </c>
      <c r="H374" s="1">
        <f t="shared" si="17"/>
        <v>0.00095191935483871</v>
      </c>
    </row>
    <row r="375" spans="1:8">
      <c r="A375" t="s">
        <v>468</v>
      </c>
      <c r="B375" t="s">
        <v>12</v>
      </c>
      <c r="C375">
        <v>0.12645</v>
      </c>
      <c r="D375">
        <v>3</v>
      </c>
      <c r="E375" s="1" t="s">
        <v>328</v>
      </c>
      <c r="F375">
        <f t="shared" si="15"/>
        <v>106</v>
      </c>
      <c r="G375">
        <f t="shared" si="16"/>
        <v>39</v>
      </c>
      <c r="H375" s="1">
        <f t="shared" si="17"/>
        <v>0.000872068965517241</v>
      </c>
    </row>
    <row r="376" spans="1:8">
      <c r="A376" t="s">
        <v>469</v>
      </c>
      <c r="B376" t="s">
        <v>12</v>
      </c>
      <c r="C376">
        <v>0.05004</v>
      </c>
      <c r="D376">
        <v>8</v>
      </c>
      <c r="E376" s="1" t="s">
        <v>135</v>
      </c>
      <c r="F376">
        <f t="shared" si="15"/>
        <v>332</v>
      </c>
      <c r="G376">
        <f t="shared" si="16"/>
        <v>24</v>
      </c>
      <c r="H376" s="1">
        <f t="shared" si="17"/>
        <v>0.000140561797752809</v>
      </c>
    </row>
    <row r="377" spans="1:8">
      <c r="A377" t="s">
        <v>470</v>
      </c>
      <c r="B377" t="s">
        <v>12</v>
      </c>
      <c r="C377">
        <v>0.13074</v>
      </c>
      <c r="D377">
        <v>2</v>
      </c>
      <c r="E377" s="1" t="s">
        <v>53</v>
      </c>
      <c r="F377">
        <f t="shared" si="15"/>
        <v>338</v>
      </c>
      <c r="G377">
        <f t="shared" si="16"/>
        <v>58</v>
      </c>
      <c r="H377" s="1">
        <f t="shared" si="17"/>
        <v>0.000330151515151515</v>
      </c>
    </row>
    <row r="378" spans="1:8">
      <c r="A378" t="s">
        <v>303</v>
      </c>
      <c r="B378" t="s">
        <v>12</v>
      </c>
      <c r="C378">
        <v>16.409986</v>
      </c>
      <c r="D378">
        <v>144</v>
      </c>
      <c r="E378" s="1" t="s">
        <v>303</v>
      </c>
      <c r="F378">
        <f t="shared" si="15"/>
        <v>144</v>
      </c>
      <c r="G378">
        <f t="shared" si="16"/>
        <v>68</v>
      </c>
      <c r="H378" s="1">
        <f t="shared" si="17"/>
        <v>0.0774055943396226</v>
      </c>
    </row>
    <row r="379" spans="1:8">
      <c r="A379" t="s">
        <v>471</v>
      </c>
      <c r="B379" t="s">
        <v>12</v>
      </c>
      <c r="C379">
        <v>0.092908</v>
      </c>
      <c r="D379">
        <v>9</v>
      </c>
      <c r="E379" s="1" t="s">
        <v>263</v>
      </c>
      <c r="F379">
        <f t="shared" si="15"/>
        <v>71</v>
      </c>
      <c r="G379">
        <f t="shared" si="16"/>
        <v>87</v>
      </c>
      <c r="H379" s="1">
        <f t="shared" si="17"/>
        <v>0.000588025316455696</v>
      </c>
    </row>
    <row r="380" spans="1:8">
      <c r="A380" t="s">
        <v>472</v>
      </c>
      <c r="B380" t="s">
        <v>9</v>
      </c>
      <c r="C380">
        <v>0.1125</v>
      </c>
      <c r="D380">
        <v>5</v>
      </c>
      <c r="E380" s="1" t="s">
        <v>309</v>
      </c>
      <c r="F380">
        <f t="shared" si="15"/>
        <v>509</v>
      </c>
      <c r="G380">
        <f t="shared" si="16"/>
        <v>134</v>
      </c>
      <c r="H380" s="1">
        <f t="shared" si="17"/>
        <v>0.000174961119751166</v>
      </c>
    </row>
    <row r="381" spans="1:8">
      <c r="A381" t="s">
        <v>473</v>
      </c>
      <c r="B381" t="s">
        <v>9</v>
      </c>
      <c r="C381">
        <v>0.38934</v>
      </c>
      <c r="D381">
        <v>4</v>
      </c>
      <c r="E381" s="1" t="s">
        <v>150</v>
      </c>
      <c r="F381">
        <f t="shared" si="15"/>
        <v>124</v>
      </c>
      <c r="G381">
        <f t="shared" si="16"/>
        <v>27</v>
      </c>
      <c r="H381" s="1">
        <f t="shared" si="17"/>
        <v>0.00257841059602649</v>
      </c>
    </row>
    <row r="382" spans="1:8">
      <c r="A382" t="s">
        <v>416</v>
      </c>
      <c r="B382" t="s">
        <v>12</v>
      </c>
      <c r="C382">
        <v>7.060258</v>
      </c>
      <c r="D382">
        <v>245</v>
      </c>
      <c r="E382" s="1" t="s">
        <v>416</v>
      </c>
      <c r="F382">
        <f t="shared" si="15"/>
        <v>245</v>
      </c>
      <c r="G382">
        <f t="shared" si="16"/>
        <v>77</v>
      </c>
      <c r="H382" s="1">
        <f t="shared" si="17"/>
        <v>0.0219262670807453</v>
      </c>
    </row>
    <row r="383" spans="1:8">
      <c r="A383" t="s">
        <v>163</v>
      </c>
      <c r="B383" t="s">
        <v>12</v>
      </c>
      <c r="C383">
        <v>8.856094</v>
      </c>
      <c r="D383">
        <v>4</v>
      </c>
      <c r="E383" s="1" t="s">
        <v>163</v>
      </c>
      <c r="F383">
        <f t="shared" si="15"/>
        <v>4</v>
      </c>
      <c r="G383">
        <f t="shared" si="16"/>
        <v>64</v>
      </c>
      <c r="H383" s="1">
        <f t="shared" si="17"/>
        <v>0.130236676470588</v>
      </c>
    </row>
    <row r="384" spans="1:8">
      <c r="A384" t="s">
        <v>223</v>
      </c>
      <c r="B384" t="s">
        <v>9</v>
      </c>
      <c r="C384">
        <v>69.187533</v>
      </c>
      <c r="D384">
        <v>69</v>
      </c>
      <c r="E384" s="1" t="s">
        <v>223</v>
      </c>
      <c r="F384">
        <f t="shared" si="15"/>
        <v>69</v>
      </c>
      <c r="G384">
        <f t="shared" si="16"/>
        <v>73</v>
      </c>
      <c r="H384" s="1">
        <f t="shared" si="17"/>
        <v>0.487236147887324</v>
      </c>
    </row>
    <row r="385" spans="1:8">
      <c r="A385" t="s">
        <v>10</v>
      </c>
      <c r="B385" t="s">
        <v>12</v>
      </c>
      <c r="C385">
        <v>7.704194</v>
      </c>
      <c r="D385">
        <v>104</v>
      </c>
      <c r="E385" s="1" t="s">
        <v>10</v>
      </c>
      <c r="F385">
        <f t="shared" si="15"/>
        <v>104</v>
      </c>
      <c r="G385">
        <f t="shared" si="16"/>
        <v>89</v>
      </c>
      <c r="H385" s="1">
        <f t="shared" si="17"/>
        <v>0.039918103626943</v>
      </c>
    </row>
    <row r="386" spans="1:8">
      <c r="A386" t="s">
        <v>305</v>
      </c>
      <c r="B386" t="s">
        <v>12</v>
      </c>
      <c r="C386">
        <v>1.781426</v>
      </c>
      <c r="D386">
        <v>212</v>
      </c>
      <c r="E386" s="1" t="s">
        <v>305</v>
      </c>
      <c r="F386">
        <f t="shared" si="15"/>
        <v>212</v>
      </c>
      <c r="G386">
        <f t="shared" si="16"/>
        <v>18</v>
      </c>
      <c r="H386" s="1">
        <f t="shared" si="17"/>
        <v>0.00774533043478261</v>
      </c>
    </row>
    <row r="387" spans="1:8">
      <c r="A387" t="s">
        <v>474</v>
      </c>
      <c r="B387" t="s">
        <v>12</v>
      </c>
      <c r="C387">
        <v>0.138</v>
      </c>
      <c r="D387">
        <v>6</v>
      </c>
      <c r="E387" s="1" t="s">
        <v>258</v>
      </c>
      <c r="F387">
        <f t="shared" ref="F387:F450" si="18">VLOOKUP(E387,A:D,4,0)</f>
        <v>25</v>
      </c>
      <c r="G387">
        <f t="shared" ref="G387:G450" si="19">VLOOKUP(E387,T:U,2,0)</f>
        <v>21</v>
      </c>
      <c r="H387" s="1">
        <f t="shared" ref="H387:H450" si="20">C387/(F387+G387)</f>
        <v>0.003</v>
      </c>
    </row>
    <row r="388" spans="1:8">
      <c r="A388" t="s">
        <v>475</v>
      </c>
      <c r="B388" t="s">
        <v>12</v>
      </c>
      <c r="C388">
        <v>0.18249</v>
      </c>
      <c r="D388">
        <v>5</v>
      </c>
      <c r="E388" s="1" t="s">
        <v>292</v>
      </c>
      <c r="F388">
        <f t="shared" si="18"/>
        <v>280</v>
      </c>
      <c r="G388">
        <f t="shared" si="19"/>
        <v>20</v>
      </c>
      <c r="H388" s="1">
        <f t="shared" si="20"/>
        <v>0.0006083</v>
      </c>
    </row>
    <row r="389" spans="1:8">
      <c r="A389" t="s">
        <v>476</v>
      </c>
      <c r="B389" t="s">
        <v>12</v>
      </c>
      <c r="C389">
        <v>0.106033</v>
      </c>
      <c r="D389">
        <v>5</v>
      </c>
      <c r="E389" s="1" t="s">
        <v>236</v>
      </c>
      <c r="F389">
        <f t="shared" si="18"/>
        <v>145</v>
      </c>
      <c r="G389">
        <f t="shared" si="19"/>
        <v>37</v>
      </c>
      <c r="H389" s="1">
        <f t="shared" si="20"/>
        <v>0.000582598901098901</v>
      </c>
    </row>
    <row r="390" spans="1:8">
      <c r="A390" t="s">
        <v>477</v>
      </c>
      <c r="B390" t="s">
        <v>12</v>
      </c>
      <c r="C390">
        <v>0.063</v>
      </c>
      <c r="D390">
        <v>5</v>
      </c>
      <c r="E390" s="1" t="s">
        <v>90</v>
      </c>
      <c r="F390">
        <f t="shared" si="18"/>
        <v>2</v>
      </c>
      <c r="G390">
        <f t="shared" si="19"/>
        <v>28</v>
      </c>
      <c r="H390" s="1">
        <f t="shared" si="20"/>
        <v>0.0021</v>
      </c>
    </row>
    <row r="391" spans="1:8">
      <c r="A391" t="s">
        <v>478</v>
      </c>
      <c r="B391" t="s">
        <v>12</v>
      </c>
      <c r="C391">
        <v>0.242</v>
      </c>
      <c r="D391">
        <v>12</v>
      </c>
      <c r="E391" s="1" t="s">
        <v>156</v>
      </c>
      <c r="F391">
        <f t="shared" si="18"/>
        <v>212</v>
      </c>
      <c r="G391">
        <f t="shared" si="19"/>
        <v>48</v>
      </c>
      <c r="H391" s="1">
        <f t="shared" si="20"/>
        <v>0.000930769230769231</v>
      </c>
    </row>
    <row r="392" spans="1:8">
      <c r="A392" t="s">
        <v>220</v>
      </c>
      <c r="B392" t="s">
        <v>9</v>
      </c>
      <c r="C392">
        <v>423.1007</v>
      </c>
      <c r="D392">
        <v>178</v>
      </c>
      <c r="E392" s="1" t="s">
        <v>220</v>
      </c>
      <c r="F392">
        <f t="shared" si="18"/>
        <v>178</v>
      </c>
      <c r="G392">
        <f t="shared" si="19"/>
        <v>1</v>
      </c>
      <c r="H392" s="1">
        <f t="shared" si="20"/>
        <v>2.36369106145251</v>
      </c>
    </row>
    <row r="393" spans="1:8">
      <c r="A393" t="s">
        <v>479</v>
      </c>
      <c r="B393" t="s">
        <v>12</v>
      </c>
      <c r="C393">
        <v>0.02169</v>
      </c>
      <c r="D393">
        <v>6</v>
      </c>
      <c r="E393" s="1" t="s">
        <v>320</v>
      </c>
      <c r="F393">
        <f t="shared" si="18"/>
        <v>116</v>
      </c>
      <c r="G393">
        <f t="shared" si="19"/>
        <v>3</v>
      </c>
      <c r="H393" s="1">
        <f t="shared" si="20"/>
        <v>0.000182268907563025</v>
      </c>
    </row>
    <row r="394" spans="1:8">
      <c r="A394" t="s">
        <v>480</v>
      </c>
      <c r="B394" t="s">
        <v>9</v>
      </c>
      <c r="C394">
        <v>460.24218</v>
      </c>
      <c r="D394">
        <v>193</v>
      </c>
      <c r="E394" s="1" t="s">
        <v>480</v>
      </c>
      <c r="F394">
        <f t="shared" si="18"/>
        <v>193</v>
      </c>
      <c r="G394">
        <v>0</v>
      </c>
      <c r="H394" s="1">
        <f t="shared" si="20"/>
        <v>2.38467450777202</v>
      </c>
    </row>
    <row r="395" spans="1:8">
      <c r="A395" t="s">
        <v>417</v>
      </c>
      <c r="B395" t="s">
        <v>12</v>
      </c>
      <c r="C395">
        <v>202.955309</v>
      </c>
      <c r="D395">
        <v>261</v>
      </c>
      <c r="E395" s="1" t="s">
        <v>417</v>
      </c>
      <c r="F395">
        <f t="shared" si="18"/>
        <v>261</v>
      </c>
      <c r="G395">
        <f t="shared" si="19"/>
        <v>86</v>
      </c>
      <c r="H395" s="1">
        <f t="shared" si="20"/>
        <v>0.584885616714697</v>
      </c>
    </row>
    <row r="396" spans="1:8">
      <c r="A396" t="s">
        <v>481</v>
      </c>
      <c r="B396" t="s">
        <v>12</v>
      </c>
      <c r="C396">
        <v>0.05925</v>
      </c>
      <c r="D396">
        <v>2</v>
      </c>
      <c r="E396" s="1" t="s">
        <v>74</v>
      </c>
      <c r="F396">
        <f t="shared" si="18"/>
        <v>372</v>
      </c>
      <c r="G396">
        <f t="shared" si="19"/>
        <v>46</v>
      </c>
      <c r="H396" s="1">
        <f t="shared" si="20"/>
        <v>0.000141746411483254</v>
      </c>
    </row>
    <row r="397" spans="1:8">
      <c r="A397" t="s">
        <v>482</v>
      </c>
      <c r="B397" t="s">
        <v>12</v>
      </c>
      <c r="C397">
        <v>0.267696</v>
      </c>
      <c r="D397">
        <v>1</v>
      </c>
      <c r="E397" s="1" t="s">
        <v>482</v>
      </c>
      <c r="F397">
        <f t="shared" si="18"/>
        <v>1</v>
      </c>
      <c r="G397">
        <v>0</v>
      </c>
      <c r="H397" s="1">
        <f t="shared" si="20"/>
        <v>0.267696</v>
      </c>
    </row>
    <row r="398" spans="1:8">
      <c r="A398" t="s">
        <v>419</v>
      </c>
      <c r="B398" t="s">
        <v>12</v>
      </c>
      <c r="C398">
        <v>721.818511</v>
      </c>
      <c r="D398">
        <v>478</v>
      </c>
      <c r="E398" s="1" t="s">
        <v>419</v>
      </c>
      <c r="F398">
        <f t="shared" si="18"/>
        <v>478</v>
      </c>
      <c r="G398">
        <f t="shared" si="19"/>
        <v>118</v>
      </c>
      <c r="H398" s="1">
        <f t="shared" si="20"/>
        <v>1.21110488422819</v>
      </c>
    </row>
    <row r="399" spans="1:8">
      <c r="A399" t="s">
        <v>483</v>
      </c>
      <c r="B399" t="s">
        <v>12</v>
      </c>
      <c r="C399">
        <v>0.33352</v>
      </c>
      <c r="D399">
        <v>21</v>
      </c>
      <c r="E399" s="1" t="s">
        <v>291</v>
      </c>
      <c r="F399">
        <f t="shared" si="18"/>
        <v>352</v>
      </c>
      <c r="G399">
        <f t="shared" si="19"/>
        <v>45</v>
      </c>
      <c r="H399" s="1">
        <f t="shared" si="20"/>
        <v>0.000840100755667506</v>
      </c>
    </row>
    <row r="400" spans="1:8">
      <c r="A400" t="s">
        <v>55</v>
      </c>
      <c r="B400" t="s">
        <v>12</v>
      </c>
      <c r="C400">
        <v>20.045221</v>
      </c>
      <c r="D400">
        <v>176</v>
      </c>
      <c r="E400" s="1" t="s">
        <v>55</v>
      </c>
      <c r="F400">
        <f t="shared" si="18"/>
        <v>176</v>
      </c>
      <c r="G400">
        <f t="shared" si="19"/>
        <v>27</v>
      </c>
      <c r="H400" s="1">
        <f t="shared" si="20"/>
        <v>0.0987449310344828</v>
      </c>
    </row>
    <row r="401" spans="1:8">
      <c r="A401" t="s">
        <v>484</v>
      </c>
      <c r="B401" t="s">
        <v>9</v>
      </c>
      <c r="C401">
        <v>0.04647</v>
      </c>
      <c r="D401">
        <v>5</v>
      </c>
      <c r="E401" s="1" t="s">
        <v>245</v>
      </c>
      <c r="F401">
        <f t="shared" si="18"/>
        <v>150</v>
      </c>
      <c r="G401">
        <f t="shared" si="19"/>
        <v>24</v>
      </c>
      <c r="H401" s="1">
        <f t="shared" si="20"/>
        <v>0.000267068965517241</v>
      </c>
    </row>
    <row r="402" spans="1:8">
      <c r="A402" t="s">
        <v>485</v>
      </c>
      <c r="B402" t="s">
        <v>12</v>
      </c>
      <c r="C402">
        <v>0.0258</v>
      </c>
      <c r="D402">
        <v>2</v>
      </c>
      <c r="E402" s="1" t="s">
        <v>226</v>
      </c>
      <c r="F402">
        <f t="shared" si="18"/>
        <v>428</v>
      </c>
      <c r="G402">
        <f t="shared" si="19"/>
        <v>311</v>
      </c>
      <c r="H402" s="1">
        <f t="shared" si="20"/>
        <v>3.49120433017591e-5</v>
      </c>
    </row>
    <row r="403" spans="1:8">
      <c r="A403" t="s">
        <v>486</v>
      </c>
      <c r="B403" t="s">
        <v>12</v>
      </c>
      <c r="C403">
        <v>0.062094</v>
      </c>
      <c r="D403">
        <v>3</v>
      </c>
      <c r="E403" s="1" t="s">
        <v>176</v>
      </c>
      <c r="F403">
        <f t="shared" si="18"/>
        <v>931</v>
      </c>
      <c r="G403">
        <f t="shared" si="19"/>
        <v>293</v>
      </c>
      <c r="H403" s="1">
        <f t="shared" si="20"/>
        <v>5.07303921568627e-5</v>
      </c>
    </row>
    <row r="404" spans="1:8">
      <c r="A404" t="s">
        <v>315</v>
      </c>
      <c r="B404" t="s">
        <v>12</v>
      </c>
      <c r="C404">
        <v>110.385954</v>
      </c>
      <c r="D404">
        <v>77</v>
      </c>
      <c r="E404" s="1" t="s">
        <v>315</v>
      </c>
      <c r="F404">
        <f t="shared" si="18"/>
        <v>77</v>
      </c>
      <c r="G404">
        <f t="shared" si="19"/>
        <v>11</v>
      </c>
      <c r="H404" s="1">
        <f t="shared" si="20"/>
        <v>1.25438584090909</v>
      </c>
    </row>
    <row r="405" spans="1:8">
      <c r="A405" t="s">
        <v>487</v>
      </c>
      <c r="B405" t="s">
        <v>12</v>
      </c>
      <c r="C405">
        <v>0.29979</v>
      </c>
      <c r="D405">
        <v>4</v>
      </c>
      <c r="E405" s="1" t="s">
        <v>92</v>
      </c>
      <c r="F405">
        <f t="shared" si="18"/>
        <v>160</v>
      </c>
      <c r="G405">
        <f t="shared" si="19"/>
        <v>38</v>
      </c>
      <c r="H405" s="1">
        <f t="shared" si="20"/>
        <v>0.00151409090909091</v>
      </c>
    </row>
    <row r="406" spans="1:8">
      <c r="A406" t="s">
        <v>488</v>
      </c>
      <c r="B406" t="s">
        <v>12</v>
      </c>
      <c r="C406">
        <v>0.09294</v>
      </c>
      <c r="D406">
        <v>1</v>
      </c>
      <c r="E406" s="1" t="s">
        <v>92</v>
      </c>
      <c r="F406">
        <f t="shared" si="18"/>
        <v>160</v>
      </c>
      <c r="G406">
        <f t="shared" si="19"/>
        <v>38</v>
      </c>
      <c r="H406" s="1">
        <f t="shared" si="20"/>
        <v>0.000469393939393939</v>
      </c>
    </row>
    <row r="407" spans="1:8">
      <c r="A407" t="s">
        <v>489</v>
      </c>
      <c r="B407" t="s">
        <v>9</v>
      </c>
      <c r="C407">
        <v>0.18009</v>
      </c>
      <c r="D407">
        <v>2</v>
      </c>
      <c r="E407" s="1" t="s">
        <v>160</v>
      </c>
      <c r="F407">
        <f t="shared" si="18"/>
        <v>87</v>
      </c>
      <c r="G407">
        <f t="shared" si="19"/>
        <v>24</v>
      </c>
      <c r="H407" s="1">
        <f t="shared" si="20"/>
        <v>0.00162243243243243</v>
      </c>
    </row>
    <row r="408" spans="1:8">
      <c r="A408" t="s">
        <v>490</v>
      </c>
      <c r="B408" t="s">
        <v>9</v>
      </c>
      <c r="C408">
        <v>0.049596</v>
      </c>
      <c r="D408">
        <v>9</v>
      </c>
      <c r="E408" s="1" t="s">
        <v>160</v>
      </c>
      <c r="F408">
        <f t="shared" si="18"/>
        <v>87</v>
      </c>
      <c r="G408">
        <f t="shared" si="19"/>
        <v>24</v>
      </c>
      <c r="H408" s="1">
        <f t="shared" si="20"/>
        <v>0.000446810810810811</v>
      </c>
    </row>
    <row r="409" spans="1:8">
      <c r="A409" t="s">
        <v>491</v>
      </c>
      <c r="B409" t="s">
        <v>12</v>
      </c>
      <c r="C409">
        <v>0.18813</v>
      </c>
      <c r="D409">
        <v>3</v>
      </c>
      <c r="E409" s="1" t="s">
        <v>53</v>
      </c>
      <c r="F409">
        <f t="shared" si="18"/>
        <v>338</v>
      </c>
      <c r="G409">
        <f t="shared" si="19"/>
        <v>58</v>
      </c>
      <c r="H409" s="1">
        <f t="shared" si="20"/>
        <v>0.000475075757575758</v>
      </c>
    </row>
    <row r="410" spans="1:8">
      <c r="A410" t="s">
        <v>492</v>
      </c>
      <c r="B410" t="s">
        <v>9</v>
      </c>
      <c r="C410">
        <v>0.37182</v>
      </c>
      <c r="D410">
        <v>12</v>
      </c>
      <c r="E410" s="1" t="s">
        <v>160</v>
      </c>
      <c r="F410">
        <f t="shared" si="18"/>
        <v>87</v>
      </c>
      <c r="G410">
        <f t="shared" si="19"/>
        <v>24</v>
      </c>
      <c r="H410" s="1">
        <f t="shared" si="20"/>
        <v>0.00334972972972973</v>
      </c>
    </row>
    <row r="411" spans="1:8">
      <c r="A411" t="s">
        <v>317</v>
      </c>
      <c r="B411" t="s">
        <v>12</v>
      </c>
      <c r="C411">
        <v>260.635459</v>
      </c>
      <c r="D411">
        <v>180</v>
      </c>
      <c r="E411" s="1" t="s">
        <v>317</v>
      </c>
      <c r="F411">
        <f t="shared" si="18"/>
        <v>180</v>
      </c>
      <c r="G411">
        <f t="shared" si="19"/>
        <v>35</v>
      </c>
      <c r="H411" s="1">
        <f t="shared" si="20"/>
        <v>1.21225794883721</v>
      </c>
    </row>
    <row r="412" spans="1:8">
      <c r="A412" t="s">
        <v>493</v>
      </c>
      <c r="B412" t="s">
        <v>12</v>
      </c>
      <c r="C412">
        <v>0.007738</v>
      </c>
      <c r="D412">
        <v>1</v>
      </c>
      <c r="E412" s="1" t="s">
        <v>349</v>
      </c>
      <c r="F412">
        <f t="shared" si="18"/>
        <v>298</v>
      </c>
      <c r="G412">
        <f t="shared" si="19"/>
        <v>42</v>
      </c>
      <c r="H412" s="1">
        <f t="shared" si="20"/>
        <v>2.27588235294118e-5</v>
      </c>
    </row>
    <row r="413" spans="1:8">
      <c r="A413" t="s">
        <v>494</v>
      </c>
      <c r="B413" t="s">
        <v>12</v>
      </c>
      <c r="C413">
        <v>0.02124</v>
      </c>
      <c r="D413">
        <v>3</v>
      </c>
      <c r="E413" s="1" t="s">
        <v>139</v>
      </c>
      <c r="F413">
        <f t="shared" si="18"/>
        <v>137</v>
      </c>
      <c r="G413">
        <f t="shared" si="19"/>
        <v>86</v>
      </c>
      <c r="H413" s="1">
        <f t="shared" si="20"/>
        <v>9.52466367713004e-5</v>
      </c>
    </row>
    <row r="414" spans="1:8">
      <c r="A414" t="s">
        <v>495</v>
      </c>
      <c r="B414" t="s">
        <v>9</v>
      </c>
      <c r="C414">
        <v>0.48666</v>
      </c>
      <c r="D414">
        <v>5</v>
      </c>
      <c r="E414" s="1" t="s">
        <v>160</v>
      </c>
      <c r="F414">
        <f t="shared" si="18"/>
        <v>87</v>
      </c>
      <c r="G414">
        <f t="shared" si="19"/>
        <v>24</v>
      </c>
      <c r="H414" s="1">
        <f t="shared" si="20"/>
        <v>0.00438432432432432</v>
      </c>
    </row>
    <row r="415" spans="1:8">
      <c r="A415" t="s">
        <v>496</v>
      </c>
      <c r="B415" t="s">
        <v>12</v>
      </c>
      <c r="C415">
        <v>0.08187</v>
      </c>
      <c r="D415">
        <v>5</v>
      </c>
      <c r="E415" s="1" t="s">
        <v>23</v>
      </c>
      <c r="F415">
        <f t="shared" si="18"/>
        <v>136</v>
      </c>
      <c r="G415">
        <f t="shared" si="19"/>
        <v>5</v>
      </c>
      <c r="H415" s="1">
        <f t="shared" si="20"/>
        <v>0.00058063829787234</v>
      </c>
    </row>
    <row r="416" spans="1:8">
      <c r="A416" t="s">
        <v>497</v>
      </c>
      <c r="B416" t="s">
        <v>12</v>
      </c>
      <c r="C416">
        <v>0.14784</v>
      </c>
      <c r="D416">
        <v>5</v>
      </c>
      <c r="E416" s="1" t="s">
        <v>74</v>
      </c>
      <c r="F416">
        <f t="shared" si="18"/>
        <v>372</v>
      </c>
      <c r="G416">
        <f t="shared" si="19"/>
        <v>46</v>
      </c>
      <c r="H416" s="1">
        <f t="shared" si="20"/>
        <v>0.000353684210526316</v>
      </c>
    </row>
    <row r="417" spans="1:8">
      <c r="A417" t="s">
        <v>498</v>
      </c>
      <c r="B417" t="s">
        <v>12</v>
      </c>
      <c r="C417">
        <v>0.03786</v>
      </c>
      <c r="D417">
        <v>2</v>
      </c>
      <c r="E417" s="1" t="s">
        <v>274</v>
      </c>
      <c r="F417">
        <f t="shared" si="18"/>
        <v>384</v>
      </c>
      <c r="G417">
        <f t="shared" si="19"/>
        <v>17</v>
      </c>
      <c r="H417" s="1">
        <f t="shared" si="20"/>
        <v>9.44139650872818e-5</v>
      </c>
    </row>
    <row r="418" spans="1:8">
      <c r="A418" t="s">
        <v>499</v>
      </c>
      <c r="B418" t="s">
        <v>12</v>
      </c>
      <c r="C418">
        <v>0.0475</v>
      </c>
      <c r="D418">
        <v>5</v>
      </c>
      <c r="E418" s="1" t="s">
        <v>244</v>
      </c>
      <c r="F418">
        <f t="shared" si="18"/>
        <v>29</v>
      </c>
      <c r="G418">
        <f t="shared" si="19"/>
        <v>2</v>
      </c>
      <c r="H418" s="1">
        <f t="shared" si="20"/>
        <v>0.00153225806451613</v>
      </c>
    </row>
    <row r="419" spans="1:8">
      <c r="A419" t="s">
        <v>500</v>
      </c>
      <c r="B419" t="s">
        <v>9</v>
      </c>
      <c r="C419">
        <v>0.030668</v>
      </c>
      <c r="D419">
        <v>4</v>
      </c>
      <c r="E419" s="1" t="s">
        <v>8</v>
      </c>
      <c r="F419">
        <f t="shared" si="18"/>
        <v>315</v>
      </c>
      <c r="G419">
        <f t="shared" si="19"/>
        <v>34</v>
      </c>
      <c r="H419" s="1">
        <f t="shared" si="20"/>
        <v>8.78739255014327e-5</v>
      </c>
    </row>
    <row r="420" spans="1:8">
      <c r="A420" t="s">
        <v>146</v>
      </c>
      <c r="B420" t="s">
        <v>12</v>
      </c>
      <c r="C420">
        <v>6.5632</v>
      </c>
      <c r="D420">
        <v>251</v>
      </c>
      <c r="E420" s="1" t="s">
        <v>146</v>
      </c>
      <c r="F420">
        <f t="shared" si="18"/>
        <v>251</v>
      </c>
      <c r="G420">
        <f t="shared" si="19"/>
        <v>47</v>
      </c>
      <c r="H420" s="1">
        <f t="shared" si="20"/>
        <v>0.0220241610738255</v>
      </c>
    </row>
    <row r="421" spans="1:8">
      <c r="A421" t="s">
        <v>360</v>
      </c>
      <c r="B421" t="s">
        <v>12</v>
      </c>
      <c r="C421">
        <v>23.255</v>
      </c>
      <c r="D421">
        <v>181</v>
      </c>
      <c r="E421" s="1" t="s">
        <v>360</v>
      </c>
      <c r="F421">
        <f t="shared" si="18"/>
        <v>181</v>
      </c>
      <c r="G421">
        <f t="shared" si="19"/>
        <v>3</v>
      </c>
      <c r="H421" s="1">
        <f t="shared" si="20"/>
        <v>0.126385869565217</v>
      </c>
    </row>
    <row r="422" spans="1:8">
      <c r="A422" t="s">
        <v>363</v>
      </c>
      <c r="B422" t="s">
        <v>12</v>
      </c>
      <c r="C422">
        <v>31.154</v>
      </c>
      <c r="D422">
        <v>297</v>
      </c>
      <c r="E422" s="1" t="s">
        <v>363</v>
      </c>
      <c r="F422">
        <f t="shared" si="18"/>
        <v>297</v>
      </c>
      <c r="G422">
        <f t="shared" si="19"/>
        <v>2</v>
      </c>
      <c r="H422" s="1">
        <f t="shared" si="20"/>
        <v>0.10419397993311</v>
      </c>
    </row>
    <row r="423" spans="1:8">
      <c r="A423" t="s">
        <v>361</v>
      </c>
      <c r="B423" t="s">
        <v>12</v>
      </c>
      <c r="C423">
        <v>9.4725</v>
      </c>
      <c r="D423">
        <v>219</v>
      </c>
      <c r="E423" s="1" t="s">
        <v>361</v>
      </c>
      <c r="F423">
        <f t="shared" si="18"/>
        <v>219</v>
      </c>
      <c r="G423">
        <f t="shared" si="19"/>
        <v>3</v>
      </c>
      <c r="H423" s="1">
        <f t="shared" si="20"/>
        <v>0.0426689189189189</v>
      </c>
    </row>
    <row r="424" spans="1:8">
      <c r="A424" t="s">
        <v>452</v>
      </c>
      <c r="B424" t="s">
        <v>12</v>
      </c>
      <c r="C424">
        <v>167.7006</v>
      </c>
      <c r="D424">
        <v>106</v>
      </c>
      <c r="E424" s="1" t="s">
        <v>452</v>
      </c>
      <c r="F424">
        <f t="shared" si="18"/>
        <v>106</v>
      </c>
      <c r="G424">
        <f t="shared" si="19"/>
        <v>77</v>
      </c>
      <c r="H424" s="1">
        <f t="shared" si="20"/>
        <v>0.916396721311475</v>
      </c>
    </row>
    <row r="425" spans="1:8">
      <c r="A425" t="s">
        <v>501</v>
      </c>
      <c r="B425" t="s">
        <v>12</v>
      </c>
      <c r="C425">
        <v>0.18</v>
      </c>
      <c r="D425">
        <v>6</v>
      </c>
      <c r="E425" s="1" t="s">
        <v>175</v>
      </c>
      <c r="F425">
        <f t="shared" si="18"/>
        <v>126</v>
      </c>
      <c r="G425">
        <f t="shared" si="19"/>
        <v>104</v>
      </c>
      <c r="H425" s="1">
        <f t="shared" si="20"/>
        <v>0.000782608695652174</v>
      </c>
    </row>
    <row r="426" spans="1:8">
      <c r="A426" t="s">
        <v>168</v>
      </c>
      <c r="B426" t="s">
        <v>12</v>
      </c>
      <c r="C426">
        <v>92.8358</v>
      </c>
      <c r="D426">
        <v>91</v>
      </c>
      <c r="E426" s="1" t="s">
        <v>168</v>
      </c>
      <c r="F426">
        <f t="shared" si="18"/>
        <v>91</v>
      </c>
      <c r="G426">
        <f t="shared" si="19"/>
        <v>9</v>
      </c>
      <c r="H426" s="1">
        <f t="shared" si="20"/>
        <v>0.928358</v>
      </c>
    </row>
    <row r="427" spans="1:8">
      <c r="A427" t="s">
        <v>433</v>
      </c>
      <c r="B427" t="s">
        <v>12</v>
      </c>
      <c r="C427">
        <v>119.1859</v>
      </c>
      <c r="D427">
        <v>146</v>
      </c>
      <c r="E427" s="1" t="s">
        <v>433</v>
      </c>
      <c r="F427">
        <f t="shared" si="18"/>
        <v>146</v>
      </c>
      <c r="G427">
        <f t="shared" si="19"/>
        <v>56</v>
      </c>
      <c r="H427" s="1">
        <f t="shared" si="20"/>
        <v>0.590029207920792</v>
      </c>
    </row>
    <row r="428" spans="1:8">
      <c r="A428" t="s">
        <v>149</v>
      </c>
      <c r="B428" t="s">
        <v>12</v>
      </c>
      <c r="C428">
        <v>117.5358</v>
      </c>
      <c r="D428">
        <v>187</v>
      </c>
      <c r="E428" s="1" t="s">
        <v>149</v>
      </c>
      <c r="F428">
        <f t="shared" si="18"/>
        <v>187</v>
      </c>
      <c r="G428">
        <f t="shared" si="19"/>
        <v>12</v>
      </c>
      <c r="H428" s="1">
        <f t="shared" si="20"/>
        <v>0.59063216080402</v>
      </c>
    </row>
    <row r="429" spans="1:8">
      <c r="A429" t="s">
        <v>502</v>
      </c>
      <c r="B429" t="s">
        <v>12</v>
      </c>
      <c r="C429">
        <v>53.4384</v>
      </c>
      <c r="D429">
        <v>200</v>
      </c>
      <c r="E429" s="1" t="s">
        <v>502</v>
      </c>
      <c r="F429">
        <f t="shared" si="18"/>
        <v>200</v>
      </c>
      <c r="G429">
        <v>0</v>
      </c>
      <c r="H429" s="1">
        <f t="shared" si="20"/>
        <v>0.267192</v>
      </c>
    </row>
    <row r="430" spans="1:8">
      <c r="A430" t="s">
        <v>354</v>
      </c>
      <c r="B430" t="s">
        <v>12</v>
      </c>
      <c r="C430">
        <v>93.4918</v>
      </c>
      <c r="D430">
        <v>285</v>
      </c>
      <c r="E430" s="1" t="s">
        <v>354</v>
      </c>
      <c r="F430">
        <f t="shared" si="18"/>
        <v>285</v>
      </c>
      <c r="G430">
        <f t="shared" si="19"/>
        <v>16</v>
      </c>
      <c r="H430" s="1">
        <f t="shared" si="20"/>
        <v>0.310603986710963</v>
      </c>
    </row>
    <row r="431" spans="1:8">
      <c r="A431" t="s">
        <v>358</v>
      </c>
      <c r="B431" t="s">
        <v>12</v>
      </c>
      <c r="C431">
        <v>88.7221</v>
      </c>
      <c r="D431">
        <v>177</v>
      </c>
      <c r="E431" s="1" t="s">
        <v>358</v>
      </c>
      <c r="F431">
        <f t="shared" si="18"/>
        <v>177</v>
      </c>
      <c r="G431">
        <f t="shared" si="19"/>
        <v>24</v>
      </c>
      <c r="H431" s="1">
        <f t="shared" si="20"/>
        <v>0.441403482587065</v>
      </c>
    </row>
    <row r="432" spans="1:8">
      <c r="A432" t="s">
        <v>319</v>
      </c>
      <c r="B432" t="s">
        <v>12</v>
      </c>
      <c r="C432">
        <v>35.0492</v>
      </c>
      <c r="D432">
        <v>183</v>
      </c>
      <c r="E432" s="1" t="s">
        <v>319</v>
      </c>
      <c r="F432">
        <f t="shared" si="18"/>
        <v>183</v>
      </c>
      <c r="G432">
        <f t="shared" si="19"/>
        <v>21</v>
      </c>
      <c r="H432" s="1">
        <f t="shared" si="20"/>
        <v>0.171809803921569</v>
      </c>
    </row>
    <row r="433" spans="1:8">
      <c r="A433" t="s">
        <v>379</v>
      </c>
      <c r="B433" t="s">
        <v>12</v>
      </c>
      <c r="C433">
        <v>66.137</v>
      </c>
      <c r="D433">
        <v>84</v>
      </c>
      <c r="E433" s="1" t="s">
        <v>379</v>
      </c>
      <c r="F433">
        <f t="shared" si="18"/>
        <v>84</v>
      </c>
      <c r="G433">
        <f t="shared" si="19"/>
        <v>2</v>
      </c>
      <c r="H433" s="1">
        <f t="shared" si="20"/>
        <v>0.76903488372093</v>
      </c>
    </row>
    <row r="434" spans="1:8">
      <c r="A434" t="s">
        <v>503</v>
      </c>
      <c r="B434" t="s">
        <v>12</v>
      </c>
      <c r="C434">
        <v>0.9464</v>
      </c>
      <c r="D434">
        <v>1</v>
      </c>
      <c r="E434" s="1" t="s">
        <v>45</v>
      </c>
      <c r="F434">
        <f t="shared" si="18"/>
        <v>277</v>
      </c>
      <c r="G434">
        <f t="shared" si="19"/>
        <v>17</v>
      </c>
      <c r="H434" s="1">
        <f t="shared" si="20"/>
        <v>0.00321904761904762</v>
      </c>
    </row>
    <row r="435" spans="1:8">
      <c r="A435" t="s">
        <v>504</v>
      </c>
      <c r="B435" t="s">
        <v>12</v>
      </c>
      <c r="C435">
        <v>1.4066</v>
      </c>
      <c r="D435">
        <v>1</v>
      </c>
      <c r="E435" s="1" t="s">
        <v>202</v>
      </c>
      <c r="F435">
        <f t="shared" si="18"/>
        <v>155</v>
      </c>
      <c r="G435">
        <f t="shared" si="19"/>
        <v>7</v>
      </c>
      <c r="H435" s="1">
        <f t="shared" si="20"/>
        <v>0.00868271604938272</v>
      </c>
    </row>
    <row r="436" spans="1:8">
      <c r="A436" t="s">
        <v>505</v>
      </c>
      <c r="B436" t="s">
        <v>12</v>
      </c>
      <c r="C436">
        <v>1.2842</v>
      </c>
      <c r="D436">
        <v>2</v>
      </c>
      <c r="E436" s="1" t="s">
        <v>257</v>
      </c>
      <c r="F436">
        <f t="shared" si="18"/>
        <v>33</v>
      </c>
      <c r="G436">
        <f t="shared" si="19"/>
        <v>6</v>
      </c>
      <c r="H436" s="1">
        <f t="shared" si="20"/>
        <v>0.0329282051282051</v>
      </c>
    </row>
    <row r="437" spans="1:8">
      <c r="A437" t="s">
        <v>506</v>
      </c>
      <c r="B437" t="s">
        <v>12</v>
      </c>
      <c r="C437">
        <v>12.6481</v>
      </c>
      <c r="D437">
        <v>14</v>
      </c>
      <c r="E437" s="1" t="s">
        <v>333</v>
      </c>
      <c r="F437">
        <f t="shared" si="18"/>
        <v>284</v>
      </c>
      <c r="G437">
        <f t="shared" si="19"/>
        <v>107</v>
      </c>
      <c r="H437" s="1">
        <f t="shared" si="20"/>
        <v>0.0323480818414322</v>
      </c>
    </row>
    <row r="438" spans="1:8">
      <c r="A438" t="s">
        <v>507</v>
      </c>
      <c r="B438" t="s">
        <v>12</v>
      </c>
      <c r="C438">
        <v>4.6822</v>
      </c>
      <c r="D438">
        <v>7</v>
      </c>
      <c r="E438" s="1" t="s">
        <v>199</v>
      </c>
      <c r="F438">
        <f t="shared" si="18"/>
        <v>207</v>
      </c>
      <c r="G438">
        <f t="shared" si="19"/>
        <v>106</v>
      </c>
      <c r="H438" s="1">
        <f t="shared" si="20"/>
        <v>0.0149591054313099</v>
      </c>
    </row>
    <row r="439" spans="1:8">
      <c r="A439" t="s">
        <v>508</v>
      </c>
      <c r="B439" t="s">
        <v>12</v>
      </c>
      <c r="C439">
        <v>3.4313</v>
      </c>
      <c r="D439">
        <v>5</v>
      </c>
      <c r="E439" s="1" t="s">
        <v>131</v>
      </c>
      <c r="F439">
        <f t="shared" si="18"/>
        <v>191</v>
      </c>
      <c r="G439">
        <f t="shared" si="19"/>
        <v>33</v>
      </c>
      <c r="H439" s="1">
        <f t="shared" si="20"/>
        <v>0.0153183035714286</v>
      </c>
    </row>
    <row r="440" spans="1:8">
      <c r="A440" t="s">
        <v>509</v>
      </c>
      <c r="B440" t="s">
        <v>12</v>
      </c>
      <c r="C440">
        <v>7.9716</v>
      </c>
      <c r="D440">
        <v>6</v>
      </c>
      <c r="E440" s="1" t="s">
        <v>129</v>
      </c>
      <c r="F440">
        <f t="shared" si="18"/>
        <v>196</v>
      </c>
      <c r="G440">
        <f t="shared" si="19"/>
        <v>34</v>
      </c>
      <c r="H440" s="1">
        <f t="shared" si="20"/>
        <v>0.0346591304347826</v>
      </c>
    </row>
    <row r="441" spans="1:8">
      <c r="A441" t="s">
        <v>510</v>
      </c>
      <c r="B441" t="s">
        <v>12</v>
      </c>
      <c r="C441">
        <v>2.1166</v>
      </c>
      <c r="D441">
        <v>2</v>
      </c>
      <c r="E441" s="1" t="s">
        <v>117</v>
      </c>
      <c r="F441">
        <f t="shared" si="18"/>
        <v>77</v>
      </c>
      <c r="G441">
        <f t="shared" si="19"/>
        <v>155</v>
      </c>
      <c r="H441" s="1">
        <f t="shared" si="20"/>
        <v>0.00912327586206896</v>
      </c>
    </row>
    <row r="442" spans="1:8">
      <c r="A442" t="s">
        <v>511</v>
      </c>
      <c r="B442" t="s">
        <v>12</v>
      </c>
      <c r="C442">
        <v>0.5364</v>
      </c>
      <c r="D442">
        <v>0</v>
      </c>
      <c r="E442" s="1" t="s">
        <v>63</v>
      </c>
      <c r="F442">
        <f t="shared" si="18"/>
        <v>143</v>
      </c>
      <c r="G442">
        <f t="shared" si="19"/>
        <v>5</v>
      </c>
      <c r="H442" s="1">
        <f t="shared" si="20"/>
        <v>0.00362432432432432</v>
      </c>
    </row>
    <row r="443" spans="1:8">
      <c r="A443" t="s">
        <v>512</v>
      </c>
      <c r="B443" t="s">
        <v>12</v>
      </c>
      <c r="C443">
        <v>1.1872</v>
      </c>
      <c r="D443">
        <v>2</v>
      </c>
      <c r="E443" s="1" t="s">
        <v>238</v>
      </c>
      <c r="F443">
        <f t="shared" si="18"/>
        <v>0</v>
      </c>
      <c r="G443">
        <f t="shared" si="19"/>
        <v>99</v>
      </c>
      <c r="H443" s="1">
        <f t="shared" si="20"/>
        <v>0.0119919191919192</v>
      </c>
    </row>
    <row r="444" spans="1:8">
      <c r="A444" t="s">
        <v>513</v>
      </c>
      <c r="B444" t="s">
        <v>12</v>
      </c>
      <c r="C444">
        <v>2.4897</v>
      </c>
      <c r="D444">
        <v>4</v>
      </c>
      <c r="E444" s="1" t="s">
        <v>325</v>
      </c>
      <c r="F444">
        <f t="shared" si="18"/>
        <v>419</v>
      </c>
      <c r="G444">
        <f t="shared" si="19"/>
        <v>203</v>
      </c>
      <c r="H444" s="1">
        <f t="shared" si="20"/>
        <v>0.00400273311897106</v>
      </c>
    </row>
    <row r="445" spans="1:8">
      <c r="A445" t="s">
        <v>237</v>
      </c>
      <c r="B445" t="s">
        <v>12</v>
      </c>
      <c r="C445">
        <v>9.3885</v>
      </c>
      <c r="D445">
        <v>6</v>
      </c>
      <c r="E445" s="1" t="s">
        <v>152</v>
      </c>
      <c r="F445">
        <f t="shared" si="18"/>
        <v>37</v>
      </c>
      <c r="G445">
        <f t="shared" si="19"/>
        <v>109</v>
      </c>
      <c r="H445" s="1">
        <f t="shared" si="20"/>
        <v>0.064304794520548</v>
      </c>
    </row>
    <row r="446" spans="1:8">
      <c r="A446" t="s">
        <v>514</v>
      </c>
      <c r="B446" t="s">
        <v>9</v>
      </c>
      <c r="C446">
        <v>5.2327</v>
      </c>
      <c r="D446">
        <v>11</v>
      </c>
      <c r="E446" s="1" t="s">
        <v>311</v>
      </c>
      <c r="F446">
        <f t="shared" si="18"/>
        <v>317</v>
      </c>
      <c r="G446">
        <f t="shared" si="19"/>
        <v>233</v>
      </c>
      <c r="H446" s="1">
        <f t="shared" si="20"/>
        <v>0.009514</v>
      </c>
    </row>
    <row r="447" spans="1:8">
      <c r="A447" t="s">
        <v>515</v>
      </c>
      <c r="B447" t="s">
        <v>12</v>
      </c>
      <c r="C447">
        <v>0.7378</v>
      </c>
      <c r="D447">
        <v>1</v>
      </c>
      <c r="E447" s="1" t="s">
        <v>373</v>
      </c>
      <c r="F447">
        <f t="shared" si="18"/>
        <v>83</v>
      </c>
      <c r="G447">
        <f t="shared" si="19"/>
        <v>43</v>
      </c>
      <c r="H447" s="1">
        <f t="shared" si="20"/>
        <v>0.00585555555555556</v>
      </c>
    </row>
    <row r="448" spans="1:8">
      <c r="A448" t="s">
        <v>516</v>
      </c>
      <c r="B448" t="s">
        <v>12</v>
      </c>
      <c r="C448">
        <v>2.8447</v>
      </c>
      <c r="D448">
        <v>3</v>
      </c>
      <c r="E448" s="1" t="s">
        <v>300</v>
      </c>
      <c r="F448">
        <f t="shared" si="18"/>
        <v>547</v>
      </c>
      <c r="G448">
        <f t="shared" si="19"/>
        <v>155</v>
      </c>
      <c r="H448" s="1">
        <f t="shared" si="20"/>
        <v>0.0040522792022792</v>
      </c>
    </row>
    <row r="449" spans="1:8">
      <c r="A449" t="s">
        <v>517</v>
      </c>
      <c r="B449" t="s">
        <v>12</v>
      </c>
      <c r="C449">
        <v>0.1396</v>
      </c>
      <c r="D449">
        <v>0</v>
      </c>
      <c r="E449" s="1" t="s">
        <v>34</v>
      </c>
      <c r="F449">
        <f t="shared" si="18"/>
        <v>489</v>
      </c>
      <c r="G449">
        <f t="shared" si="19"/>
        <v>139</v>
      </c>
      <c r="H449" s="1">
        <f t="shared" si="20"/>
        <v>0.000222292993630573</v>
      </c>
    </row>
    <row r="450" spans="1:8">
      <c r="A450" t="s">
        <v>518</v>
      </c>
      <c r="B450" t="s">
        <v>9</v>
      </c>
      <c r="C450">
        <v>1.872</v>
      </c>
      <c r="D450">
        <v>1</v>
      </c>
      <c r="E450" s="1" t="s">
        <v>143</v>
      </c>
      <c r="F450">
        <f t="shared" si="18"/>
        <v>52</v>
      </c>
      <c r="G450">
        <f t="shared" si="19"/>
        <v>26</v>
      </c>
      <c r="H450" s="1">
        <f t="shared" si="20"/>
        <v>0.024</v>
      </c>
    </row>
    <row r="451" spans="1:8">
      <c r="A451" t="s">
        <v>519</v>
      </c>
      <c r="B451" t="s">
        <v>12</v>
      </c>
      <c r="C451">
        <v>0.595</v>
      </c>
      <c r="D451">
        <v>0</v>
      </c>
      <c r="E451" s="1" t="s">
        <v>278</v>
      </c>
      <c r="F451">
        <f t="shared" ref="F451:F514" si="21">VLOOKUP(E451,A:D,4,0)</f>
        <v>361</v>
      </c>
      <c r="G451">
        <f t="shared" ref="G451:G514" si="22">VLOOKUP(E451,T:U,2,0)</f>
        <v>75</v>
      </c>
      <c r="H451" s="1">
        <f t="shared" ref="H451:H514" si="23">C451/(F451+G451)</f>
        <v>0.00136467889908257</v>
      </c>
    </row>
    <row r="452" spans="1:8">
      <c r="A452" t="s">
        <v>520</v>
      </c>
      <c r="B452" t="s">
        <v>12</v>
      </c>
      <c r="C452">
        <v>1.6919</v>
      </c>
      <c r="D452">
        <v>4</v>
      </c>
      <c r="E452" s="1" t="s">
        <v>343</v>
      </c>
      <c r="F452">
        <f t="shared" si="21"/>
        <v>321</v>
      </c>
      <c r="G452">
        <f t="shared" si="22"/>
        <v>29</v>
      </c>
      <c r="H452" s="1">
        <f t="shared" si="23"/>
        <v>0.004834</v>
      </c>
    </row>
    <row r="453" spans="1:8">
      <c r="A453" t="s">
        <v>521</v>
      </c>
      <c r="B453" t="s">
        <v>12</v>
      </c>
      <c r="C453">
        <v>0.9559</v>
      </c>
      <c r="D453">
        <v>1</v>
      </c>
      <c r="E453" s="1" t="s">
        <v>279</v>
      </c>
      <c r="F453">
        <f t="shared" si="21"/>
        <v>597</v>
      </c>
      <c r="G453">
        <f t="shared" si="22"/>
        <v>80</v>
      </c>
      <c r="H453" s="1">
        <f t="shared" si="23"/>
        <v>0.00141196454948301</v>
      </c>
    </row>
    <row r="454" spans="1:8">
      <c r="A454" t="s">
        <v>522</v>
      </c>
      <c r="B454" t="s">
        <v>12</v>
      </c>
      <c r="C454">
        <v>6.12</v>
      </c>
      <c r="D454">
        <v>4</v>
      </c>
      <c r="E454" s="1" t="s">
        <v>180</v>
      </c>
      <c r="F454">
        <f t="shared" si="21"/>
        <v>39</v>
      </c>
      <c r="G454">
        <f t="shared" si="22"/>
        <v>287</v>
      </c>
      <c r="H454" s="1">
        <f t="shared" si="23"/>
        <v>0.0187730061349693</v>
      </c>
    </row>
    <row r="455" spans="1:8">
      <c r="A455" t="s">
        <v>523</v>
      </c>
      <c r="B455" t="s">
        <v>12</v>
      </c>
      <c r="C455">
        <v>4.111</v>
      </c>
      <c r="D455">
        <v>6</v>
      </c>
      <c r="E455" s="1" t="s">
        <v>298</v>
      </c>
      <c r="F455">
        <f t="shared" si="21"/>
        <v>141</v>
      </c>
      <c r="G455">
        <f t="shared" si="22"/>
        <v>141</v>
      </c>
      <c r="H455" s="1">
        <f t="shared" si="23"/>
        <v>0.0145780141843972</v>
      </c>
    </row>
    <row r="456" spans="1:8">
      <c r="A456" t="s">
        <v>524</v>
      </c>
      <c r="B456" t="s">
        <v>12</v>
      </c>
      <c r="C456">
        <v>2.2344</v>
      </c>
      <c r="D456">
        <v>6</v>
      </c>
      <c r="E456" s="1" t="s">
        <v>254</v>
      </c>
      <c r="F456">
        <f t="shared" si="21"/>
        <v>0</v>
      </c>
      <c r="G456">
        <f t="shared" si="22"/>
        <v>33</v>
      </c>
      <c r="H456" s="1">
        <f t="shared" si="23"/>
        <v>0.0677090909090909</v>
      </c>
    </row>
    <row r="457" spans="1:8">
      <c r="A457" t="s">
        <v>525</v>
      </c>
      <c r="B457" t="s">
        <v>12</v>
      </c>
      <c r="C457">
        <v>0.147</v>
      </c>
      <c r="D457">
        <v>7</v>
      </c>
      <c r="E457" s="1" t="s">
        <v>200</v>
      </c>
      <c r="F457">
        <f t="shared" si="21"/>
        <v>78</v>
      </c>
      <c r="G457">
        <f t="shared" si="22"/>
        <v>54</v>
      </c>
      <c r="H457" s="1">
        <f t="shared" si="23"/>
        <v>0.00111363636363636</v>
      </c>
    </row>
    <row r="458" spans="1:8">
      <c r="A458" t="s">
        <v>526</v>
      </c>
      <c r="B458" t="s">
        <v>12</v>
      </c>
      <c r="C458">
        <v>0.126</v>
      </c>
      <c r="D458">
        <v>6</v>
      </c>
      <c r="E458" s="1" t="s">
        <v>200</v>
      </c>
      <c r="F458">
        <f t="shared" si="21"/>
        <v>78</v>
      </c>
      <c r="G458">
        <f t="shared" si="22"/>
        <v>54</v>
      </c>
      <c r="H458" s="1">
        <f t="shared" si="23"/>
        <v>0.000954545454545455</v>
      </c>
    </row>
    <row r="459" spans="1:8">
      <c r="A459" t="s">
        <v>527</v>
      </c>
      <c r="B459" t="s">
        <v>12</v>
      </c>
      <c r="C459">
        <v>0.645</v>
      </c>
      <c r="D459">
        <v>1</v>
      </c>
      <c r="E459" s="1" t="s">
        <v>204</v>
      </c>
      <c r="F459">
        <f t="shared" si="21"/>
        <v>398</v>
      </c>
      <c r="G459">
        <f t="shared" si="22"/>
        <v>9</v>
      </c>
      <c r="H459" s="1">
        <f t="shared" si="23"/>
        <v>0.00158476658476658</v>
      </c>
    </row>
    <row r="460" spans="1:8">
      <c r="A460" t="s">
        <v>528</v>
      </c>
      <c r="B460" t="s">
        <v>12</v>
      </c>
      <c r="C460">
        <v>0.051</v>
      </c>
      <c r="D460">
        <v>5</v>
      </c>
      <c r="E460" s="1" t="s">
        <v>262</v>
      </c>
      <c r="F460">
        <f t="shared" si="21"/>
        <v>95</v>
      </c>
      <c r="G460">
        <f t="shared" si="22"/>
        <v>78</v>
      </c>
      <c r="H460" s="1">
        <f t="shared" si="23"/>
        <v>0.000294797687861272</v>
      </c>
    </row>
    <row r="461" spans="1:8">
      <c r="A461" t="s">
        <v>529</v>
      </c>
      <c r="B461" t="s">
        <v>12</v>
      </c>
      <c r="C461">
        <v>82.1641</v>
      </c>
      <c r="D461">
        <v>69</v>
      </c>
      <c r="E461" s="1" t="s">
        <v>529</v>
      </c>
      <c r="F461">
        <f t="shared" si="21"/>
        <v>69</v>
      </c>
      <c r="G461">
        <v>0</v>
      </c>
      <c r="H461" s="1">
        <f t="shared" si="23"/>
        <v>1.19078405797101</v>
      </c>
    </row>
    <row r="462" spans="1:8">
      <c r="A462" t="s">
        <v>530</v>
      </c>
      <c r="B462" t="s">
        <v>12</v>
      </c>
      <c r="C462">
        <v>0.287</v>
      </c>
      <c r="D462">
        <v>0</v>
      </c>
      <c r="E462" s="1" t="s">
        <v>70</v>
      </c>
      <c r="F462">
        <f t="shared" si="21"/>
        <v>355</v>
      </c>
      <c r="G462">
        <f t="shared" si="22"/>
        <v>46</v>
      </c>
      <c r="H462" s="1">
        <f t="shared" si="23"/>
        <v>0.00071571072319202</v>
      </c>
    </row>
    <row r="463" spans="1:8">
      <c r="A463" t="s">
        <v>213</v>
      </c>
      <c r="B463" t="s">
        <v>9</v>
      </c>
      <c r="C463">
        <v>444.3059</v>
      </c>
      <c r="D463">
        <v>145</v>
      </c>
      <c r="E463" s="1" t="s">
        <v>213</v>
      </c>
      <c r="F463">
        <f t="shared" si="21"/>
        <v>145</v>
      </c>
      <c r="G463">
        <f t="shared" si="22"/>
        <v>24</v>
      </c>
      <c r="H463" s="1">
        <f t="shared" si="23"/>
        <v>2.62902899408284</v>
      </c>
    </row>
    <row r="464" spans="1:8">
      <c r="A464" t="s">
        <v>224</v>
      </c>
      <c r="B464" t="s">
        <v>9</v>
      </c>
      <c r="C464">
        <v>135.537</v>
      </c>
      <c r="D464">
        <v>26</v>
      </c>
      <c r="E464" s="1" t="s">
        <v>224</v>
      </c>
      <c r="F464">
        <f t="shared" si="21"/>
        <v>26</v>
      </c>
      <c r="G464">
        <f t="shared" si="22"/>
        <v>3</v>
      </c>
      <c r="H464" s="1">
        <f t="shared" si="23"/>
        <v>4.67368965517241</v>
      </c>
    </row>
    <row r="465" spans="1:8">
      <c r="A465" t="s">
        <v>216</v>
      </c>
      <c r="B465" t="s">
        <v>12</v>
      </c>
      <c r="C465">
        <v>2.5479</v>
      </c>
      <c r="D465">
        <v>0</v>
      </c>
      <c r="E465" s="1" t="s">
        <v>215</v>
      </c>
      <c r="F465">
        <f t="shared" si="21"/>
        <v>48</v>
      </c>
      <c r="G465">
        <f t="shared" si="22"/>
        <v>56</v>
      </c>
      <c r="H465" s="1">
        <f t="shared" si="23"/>
        <v>0.0244990384615385</v>
      </c>
    </row>
    <row r="466" spans="1:8">
      <c r="A466" t="s">
        <v>531</v>
      </c>
      <c r="B466" t="s">
        <v>12</v>
      </c>
      <c r="C466">
        <v>0.042</v>
      </c>
      <c r="D466">
        <v>2</v>
      </c>
      <c r="E466" s="1" t="s">
        <v>532</v>
      </c>
      <c r="F466">
        <v>0</v>
      </c>
      <c r="G466">
        <v>0</v>
      </c>
      <c r="H466" s="1" t="e">
        <f t="shared" si="23"/>
        <v>#DIV/0!</v>
      </c>
    </row>
    <row r="467" spans="1:8">
      <c r="A467" t="s">
        <v>533</v>
      </c>
      <c r="B467" t="s">
        <v>12</v>
      </c>
      <c r="C467">
        <v>0.3005</v>
      </c>
      <c r="D467">
        <v>4</v>
      </c>
      <c r="E467" s="1" t="s">
        <v>325</v>
      </c>
      <c r="F467">
        <f t="shared" si="21"/>
        <v>419</v>
      </c>
      <c r="G467">
        <f t="shared" si="22"/>
        <v>203</v>
      </c>
      <c r="H467" s="1">
        <f t="shared" si="23"/>
        <v>0.000483118971061093</v>
      </c>
    </row>
    <row r="468" spans="1:8">
      <c r="A468" t="s">
        <v>534</v>
      </c>
      <c r="B468" t="s">
        <v>12</v>
      </c>
      <c r="C468">
        <v>0.147</v>
      </c>
      <c r="D468">
        <v>7</v>
      </c>
      <c r="E468" s="1" t="s">
        <v>188</v>
      </c>
      <c r="F468">
        <f t="shared" si="21"/>
        <v>94</v>
      </c>
      <c r="G468">
        <f t="shared" si="22"/>
        <v>8</v>
      </c>
      <c r="H468" s="1">
        <f t="shared" si="23"/>
        <v>0.00144117647058824</v>
      </c>
    </row>
    <row r="469" spans="1:8">
      <c r="A469" t="s">
        <v>535</v>
      </c>
      <c r="B469" t="s">
        <v>12</v>
      </c>
      <c r="C469">
        <v>0.132</v>
      </c>
      <c r="D469">
        <v>9</v>
      </c>
      <c r="E469" s="1" t="s">
        <v>328</v>
      </c>
      <c r="F469">
        <f t="shared" si="21"/>
        <v>106</v>
      </c>
      <c r="G469">
        <f t="shared" si="22"/>
        <v>39</v>
      </c>
      <c r="H469" s="1">
        <f t="shared" si="23"/>
        <v>0.000910344827586207</v>
      </c>
    </row>
    <row r="470" spans="1:8">
      <c r="A470" t="s">
        <v>17</v>
      </c>
      <c r="B470" t="s">
        <v>12</v>
      </c>
      <c r="C470">
        <v>11.1227</v>
      </c>
      <c r="D470">
        <v>4</v>
      </c>
      <c r="E470" s="1" t="s">
        <v>17</v>
      </c>
      <c r="F470">
        <f t="shared" si="21"/>
        <v>4</v>
      </c>
      <c r="G470">
        <f t="shared" si="22"/>
        <v>36</v>
      </c>
      <c r="H470" s="1">
        <f t="shared" si="23"/>
        <v>0.2780675</v>
      </c>
    </row>
    <row r="471" spans="1:8">
      <c r="A471" t="s">
        <v>372</v>
      </c>
      <c r="B471" t="s">
        <v>12</v>
      </c>
      <c r="C471">
        <v>2.1914</v>
      </c>
      <c r="D471">
        <v>3</v>
      </c>
      <c r="E471" s="1" t="s">
        <v>173</v>
      </c>
      <c r="F471">
        <f t="shared" si="21"/>
        <v>161</v>
      </c>
      <c r="G471">
        <f t="shared" si="22"/>
        <v>50</v>
      </c>
      <c r="H471" s="1">
        <f t="shared" si="23"/>
        <v>0.0103857819905213</v>
      </c>
    </row>
    <row r="472" spans="1:8">
      <c r="A472" t="s">
        <v>536</v>
      </c>
      <c r="B472" t="s">
        <v>12</v>
      </c>
      <c r="C472">
        <v>0.867</v>
      </c>
      <c r="D472">
        <v>1</v>
      </c>
      <c r="E472" s="1" t="s">
        <v>366</v>
      </c>
      <c r="F472">
        <f t="shared" si="21"/>
        <v>161</v>
      </c>
      <c r="G472">
        <f t="shared" si="22"/>
        <v>73</v>
      </c>
      <c r="H472" s="1">
        <f t="shared" si="23"/>
        <v>0.00370512820512821</v>
      </c>
    </row>
    <row r="473" spans="1:8">
      <c r="A473" t="s">
        <v>193</v>
      </c>
      <c r="B473" t="s">
        <v>12</v>
      </c>
      <c r="C473">
        <v>3.8184</v>
      </c>
      <c r="D473">
        <v>9</v>
      </c>
      <c r="E473" s="1" t="s">
        <v>192</v>
      </c>
      <c r="F473">
        <f t="shared" si="21"/>
        <v>1554</v>
      </c>
      <c r="G473">
        <f t="shared" si="22"/>
        <v>512</v>
      </c>
      <c r="H473" s="1">
        <f t="shared" si="23"/>
        <v>0.00184820909970958</v>
      </c>
    </row>
    <row r="474" spans="1:8">
      <c r="A474" t="s">
        <v>233</v>
      </c>
      <c r="B474" t="s">
        <v>12</v>
      </c>
      <c r="C474">
        <v>6.0918</v>
      </c>
      <c r="D474">
        <v>6</v>
      </c>
      <c r="E474" s="1" t="s">
        <v>232</v>
      </c>
      <c r="F474">
        <f t="shared" si="21"/>
        <v>0</v>
      </c>
      <c r="G474">
        <f t="shared" si="22"/>
        <v>72</v>
      </c>
      <c r="H474" s="1">
        <f t="shared" si="23"/>
        <v>0.0846083333333333</v>
      </c>
    </row>
    <row r="475" spans="1:8">
      <c r="A475" t="s">
        <v>537</v>
      </c>
      <c r="B475" t="s">
        <v>12</v>
      </c>
      <c r="C475">
        <v>0.189</v>
      </c>
      <c r="D475">
        <v>9</v>
      </c>
      <c r="E475" s="1" t="s">
        <v>165</v>
      </c>
      <c r="F475">
        <f t="shared" si="21"/>
        <v>70</v>
      </c>
      <c r="G475">
        <f t="shared" si="22"/>
        <v>15</v>
      </c>
      <c r="H475" s="1">
        <f t="shared" si="23"/>
        <v>0.00222352941176471</v>
      </c>
    </row>
    <row r="476" spans="1:8">
      <c r="A476" t="s">
        <v>538</v>
      </c>
      <c r="B476" t="s">
        <v>12</v>
      </c>
      <c r="C476">
        <v>0.093</v>
      </c>
      <c r="D476">
        <v>5</v>
      </c>
      <c r="E476" s="1" t="s">
        <v>386</v>
      </c>
      <c r="F476">
        <f t="shared" si="21"/>
        <v>13</v>
      </c>
      <c r="G476">
        <f t="shared" si="22"/>
        <v>37</v>
      </c>
      <c r="H476" s="1">
        <f t="shared" si="23"/>
        <v>0.00186</v>
      </c>
    </row>
    <row r="477" spans="1:8">
      <c r="A477" t="s">
        <v>204</v>
      </c>
      <c r="B477" t="s">
        <v>12</v>
      </c>
      <c r="C477">
        <v>859.2639</v>
      </c>
      <c r="D477">
        <v>398</v>
      </c>
      <c r="E477" s="1" t="s">
        <v>204</v>
      </c>
      <c r="F477">
        <f t="shared" si="21"/>
        <v>398</v>
      </c>
      <c r="G477">
        <f t="shared" si="22"/>
        <v>9</v>
      </c>
      <c r="H477" s="1">
        <f t="shared" si="23"/>
        <v>2.11121351351351</v>
      </c>
    </row>
    <row r="478" spans="1:8">
      <c r="A478" t="s">
        <v>21</v>
      </c>
      <c r="B478" t="s">
        <v>12</v>
      </c>
      <c r="C478">
        <v>23.9777</v>
      </c>
      <c r="D478">
        <v>21</v>
      </c>
      <c r="E478" s="1" t="s">
        <v>21</v>
      </c>
      <c r="F478">
        <f t="shared" si="21"/>
        <v>21</v>
      </c>
      <c r="G478">
        <f t="shared" si="22"/>
        <v>33</v>
      </c>
      <c r="H478" s="1">
        <f t="shared" si="23"/>
        <v>0.444031481481481</v>
      </c>
    </row>
    <row r="479" spans="1:8">
      <c r="A479" t="s">
        <v>539</v>
      </c>
      <c r="B479" t="s">
        <v>12</v>
      </c>
      <c r="C479">
        <v>0.0521</v>
      </c>
      <c r="D479">
        <v>5</v>
      </c>
      <c r="E479" s="1" t="s">
        <v>376</v>
      </c>
      <c r="F479">
        <f t="shared" si="21"/>
        <v>28</v>
      </c>
      <c r="G479">
        <f t="shared" si="22"/>
        <v>15</v>
      </c>
      <c r="H479" s="1">
        <f t="shared" si="23"/>
        <v>0.00121162790697674</v>
      </c>
    </row>
    <row r="480" spans="1:8">
      <c r="A480" t="s">
        <v>189</v>
      </c>
      <c r="B480" t="s">
        <v>12</v>
      </c>
      <c r="C480">
        <v>1.0448</v>
      </c>
      <c r="D480">
        <v>0</v>
      </c>
      <c r="E480" s="1" t="s">
        <v>187</v>
      </c>
      <c r="F480">
        <f t="shared" si="21"/>
        <v>812</v>
      </c>
      <c r="G480">
        <f t="shared" si="22"/>
        <v>876</v>
      </c>
      <c r="H480" s="1">
        <f t="shared" si="23"/>
        <v>0.000618957345971564</v>
      </c>
    </row>
    <row r="481" spans="1:8">
      <c r="A481" t="s">
        <v>540</v>
      </c>
      <c r="B481" t="s">
        <v>12</v>
      </c>
      <c r="C481">
        <v>0.063</v>
      </c>
      <c r="D481">
        <v>3</v>
      </c>
      <c r="E481" s="1" t="s">
        <v>40</v>
      </c>
      <c r="F481">
        <f t="shared" si="21"/>
        <v>336</v>
      </c>
      <c r="G481">
        <f t="shared" si="22"/>
        <v>90</v>
      </c>
      <c r="H481" s="1">
        <f t="shared" si="23"/>
        <v>0.000147887323943662</v>
      </c>
    </row>
    <row r="482" spans="1:8">
      <c r="A482" t="s">
        <v>541</v>
      </c>
      <c r="B482" t="s">
        <v>12</v>
      </c>
      <c r="C482">
        <v>0.036</v>
      </c>
      <c r="D482">
        <v>3</v>
      </c>
      <c r="E482" s="1" t="s">
        <v>92</v>
      </c>
      <c r="F482">
        <f t="shared" si="21"/>
        <v>160</v>
      </c>
      <c r="G482">
        <f t="shared" si="22"/>
        <v>38</v>
      </c>
      <c r="H482" s="1">
        <f t="shared" si="23"/>
        <v>0.000181818181818182</v>
      </c>
    </row>
    <row r="483" spans="1:8">
      <c r="A483" t="s">
        <v>542</v>
      </c>
      <c r="B483" t="s">
        <v>9</v>
      </c>
      <c r="C483">
        <v>6.8367</v>
      </c>
      <c r="D483">
        <v>6</v>
      </c>
      <c r="E483" s="1" t="s">
        <v>235</v>
      </c>
      <c r="F483">
        <f t="shared" si="21"/>
        <v>17</v>
      </c>
      <c r="G483">
        <f t="shared" si="22"/>
        <v>12</v>
      </c>
      <c r="H483" s="1">
        <f t="shared" si="23"/>
        <v>0.235748275862069</v>
      </c>
    </row>
    <row r="484" spans="1:8">
      <c r="A484" t="s">
        <v>543</v>
      </c>
      <c r="B484" t="s">
        <v>12</v>
      </c>
      <c r="C484">
        <v>0.042</v>
      </c>
      <c r="D484">
        <v>2</v>
      </c>
      <c r="E484" s="1" t="s">
        <v>92</v>
      </c>
      <c r="F484">
        <f t="shared" si="21"/>
        <v>160</v>
      </c>
      <c r="G484">
        <f t="shared" si="22"/>
        <v>38</v>
      </c>
      <c r="H484" s="1">
        <f t="shared" si="23"/>
        <v>0.000212121212121212</v>
      </c>
    </row>
    <row r="485" spans="1:8">
      <c r="A485" t="s">
        <v>544</v>
      </c>
      <c r="B485" t="s">
        <v>12</v>
      </c>
      <c r="C485">
        <v>1.6272</v>
      </c>
      <c r="D485">
        <v>0</v>
      </c>
      <c r="E485" s="1" t="s">
        <v>366</v>
      </c>
      <c r="F485">
        <f t="shared" si="21"/>
        <v>161</v>
      </c>
      <c r="G485">
        <f t="shared" si="22"/>
        <v>73</v>
      </c>
      <c r="H485" s="1">
        <f t="shared" si="23"/>
        <v>0.00695384615384615</v>
      </c>
    </row>
    <row r="486" spans="1:8">
      <c r="A486" t="s">
        <v>545</v>
      </c>
      <c r="B486" t="s">
        <v>12</v>
      </c>
      <c r="C486">
        <v>0.231</v>
      </c>
      <c r="D486">
        <v>11</v>
      </c>
      <c r="E486" s="1" t="s">
        <v>92</v>
      </c>
      <c r="F486">
        <f t="shared" si="21"/>
        <v>160</v>
      </c>
      <c r="G486">
        <f t="shared" si="22"/>
        <v>38</v>
      </c>
      <c r="H486" s="1">
        <f t="shared" si="23"/>
        <v>0.00116666666666667</v>
      </c>
    </row>
    <row r="487" spans="1:8">
      <c r="A487" t="s">
        <v>546</v>
      </c>
      <c r="B487" t="s">
        <v>12</v>
      </c>
      <c r="C487">
        <v>0.078</v>
      </c>
      <c r="D487">
        <v>3</v>
      </c>
      <c r="E487" s="1" t="s">
        <v>92</v>
      </c>
      <c r="F487">
        <f t="shared" si="21"/>
        <v>160</v>
      </c>
      <c r="G487">
        <f t="shared" si="22"/>
        <v>38</v>
      </c>
      <c r="H487" s="1">
        <f t="shared" si="23"/>
        <v>0.000393939393939394</v>
      </c>
    </row>
    <row r="488" spans="1:8">
      <c r="A488" t="s">
        <v>547</v>
      </c>
      <c r="B488" t="s">
        <v>12</v>
      </c>
      <c r="C488">
        <v>31.3836</v>
      </c>
      <c r="D488">
        <v>70</v>
      </c>
      <c r="E488" s="1" t="s">
        <v>547</v>
      </c>
      <c r="F488">
        <f t="shared" si="21"/>
        <v>70</v>
      </c>
      <c r="G488">
        <v>0</v>
      </c>
      <c r="H488" s="1">
        <f t="shared" si="23"/>
        <v>0.448337142857143</v>
      </c>
    </row>
    <row r="489" spans="1:8">
      <c r="A489" t="s">
        <v>548</v>
      </c>
      <c r="B489" t="s">
        <v>12</v>
      </c>
      <c r="C489">
        <v>1.0206</v>
      </c>
      <c r="D489">
        <v>0</v>
      </c>
      <c r="E489" s="1" t="s">
        <v>85</v>
      </c>
      <c r="F489">
        <f t="shared" si="21"/>
        <v>244</v>
      </c>
      <c r="G489">
        <f t="shared" si="22"/>
        <v>43</v>
      </c>
      <c r="H489" s="1">
        <f t="shared" si="23"/>
        <v>0.00355609756097561</v>
      </c>
    </row>
    <row r="490" spans="1:8">
      <c r="A490" t="s">
        <v>549</v>
      </c>
      <c r="B490" t="s">
        <v>12</v>
      </c>
      <c r="C490">
        <v>0.063</v>
      </c>
      <c r="D490">
        <v>5</v>
      </c>
      <c r="E490" s="1" t="s">
        <v>162</v>
      </c>
      <c r="F490">
        <f t="shared" si="21"/>
        <v>179</v>
      </c>
      <c r="G490">
        <f t="shared" si="22"/>
        <v>30</v>
      </c>
      <c r="H490" s="1">
        <f t="shared" si="23"/>
        <v>0.000301435406698565</v>
      </c>
    </row>
    <row r="491" spans="1:8">
      <c r="A491" t="s">
        <v>550</v>
      </c>
      <c r="B491" t="s">
        <v>12</v>
      </c>
      <c r="C491">
        <v>1.5186</v>
      </c>
      <c r="D491">
        <v>3</v>
      </c>
      <c r="E491" s="1" t="s">
        <v>145</v>
      </c>
      <c r="F491">
        <f t="shared" si="21"/>
        <v>248</v>
      </c>
      <c r="G491">
        <f t="shared" si="22"/>
        <v>26</v>
      </c>
      <c r="H491" s="1">
        <f t="shared" si="23"/>
        <v>0.00554233576642336</v>
      </c>
    </row>
    <row r="492" spans="1:8">
      <c r="A492" t="s">
        <v>551</v>
      </c>
      <c r="B492" t="s">
        <v>12</v>
      </c>
      <c r="C492">
        <v>0.021</v>
      </c>
      <c r="D492">
        <v>1</v>
      </c>
      <c r="E492" s="1" t="s">
        <v>92</v>
      </c>
      <c r="F492">
        <f t="shared" si="21"/>
        <v>160</v>
      </c>
      <c r="G492">
        <f t="shared" si="22"/>
        <v>38</v>
      </c>
      <c r="H492" s="1">
        <f t="shared" si="23"/>
        <v>0.000106060606060606</v>
      </c>
    </row>
    <row r="493" spans="1:8">
      <c r="A493" t="s">
        <v>552</v>
      </c>
      <c r="B493" t="s">
        <v>12</v>
      </c>
      <c r="C493">
        <v>0.0993</v>
      </c>
      <c r="D493">
        <v>3</v>
      </c>
      <c r="E493" s="1" t="s">
        <v>99</v>
      </c>
      <c r="F493">
        <f t="shared" si="21"/>
        <v>244</v>
      </c>
      <c r="G493">
        <f t="shared" si="22"/>
        <v>22</v>
      </c>
      <c r="H493" s="1">
        <f t="shared" si="23"/>
        <v>0.000373308270676692</v>
      </c>
    </row>
    <row r="494" spans="1:8">
      <c r="A494" t="s">
        <v>553</v>
      </c>
      <c r="B494" t="s">
        <v>12</v>
      </c>
      <c r="C494">
        <v>0.168</v>
      </c>
      <c r="D494">
        <v>8</v>
      </c>
      <c r="E494" s="1" t="s">
        <v>92</v>
      </c>
      <c r="F494">
        <f t="shared" si="21"/>
        <v>160</v>
      </c>
      <c r="G494">
        <f t="shared" si="22"/>
        <v>38</v>
      </c>
      <c r="H494" s="1">
        <f t="shared" si="23"/>
        <v>0.000848484848484849</v>
      </c>
    </row>
    <row r="495" spans="1:8">
      <c r="A495" t="s">
        <v>554</v>
      </c>
      <c r="B495" t="s">
        <v>12</v>
      </c>
      <c r="C495">
        <v>1.2648</v>
      </c>
      <c r="D495">
        <v>1</v>
      </c>
      <c r="E495" s="1" t="s">
        <v>555</v>
      </c>
      <c r="F495">
        <v>0</v>
      </c>
      <c r="G495">
        <v>0</v>
      </c>
      <c r="H495" s="1" t="e">
        <f t="shared" si="23"/>
        <v>#DIV/0!</v>
      </c>
    </row>
    <row r="496" spans="1:8">
      <c r="A496" t="s">
        <v>556</v>
      </c>
      <c r="B496" t="s">
        <v>12</v>
      </c>
      <c r="C496">
        <v>0.081</v>
      </c>
      <c r="D496">
        <v>4</v>
      </c>
      <c r="E496" s="1" t="s">
        <v>316</v>
      </c>
      <c r="F496">
        <f t="shared" si="21"/>
        <v>160</v>
      </c>
      <c r="G496">
        <f t="shared" si="22"/>
        <v>64</v>
      </c>
      <c r="H496" s="1">
        <f t="shared" si="23"/>
        <v>0.000361607142857143</v>
      </c>
    </row>
    <row r="497" spans="1:8">
      <c r="A497" t="s">
        <v>557</v>
      </c>
      <c r="B497" t="s">
        <v>12</v>
      </c>
      <c r="C497">
        <v>0.399</v>
      </c>
      <c r="D497">
        <v>19</v>
      </c>
      <c r="E497" s="1" t="s">
        <v>92</v>
      </c>
      <c r="F497">
        <f t="shared" si="21"/>
        <v>160</v>
      </c>
      <c r="G497">
        <f t="shared" si="22"/>
        <v>38</v>
      </c>
      <c r="H497" s="1">
        <f t="shared" si="23"/>
        <v>0.00201515151515152</v>
      </c>
    </row>
    <row r="498" spans="1:8">
      <c r="A498" t="s">
        <v>558</v>
      </c>
      <c r="B498" t="s">
        <v>12</v>
      </c>
      <c r="C498">
        <v>0.5304</v>
      </c>
      <c r="D498">
        <v>0</v>
      </c>
      <c r="E498" s="1" t="s">
        <v>326</v>
      </c>
      <c r="F498">
        <f t="shared" si="21"/>
        <v>135</v>
      </c>
      <c r="G498">
        <f t="shared" si="22"/>
        <v>31</v>
      </c>
      <c r="H498" s="1">
        <f t="shared" si="23"/>
        <v>0.00319518072289157</v>
      </c>
    </row>
    <row r="499" spans="1:8">
      <c r="A499" t="s">
        <v>559</v>
      </c>
      <c r="B499" t="s">
        <v>9</v>
      </c>
      <c r="C499">
        <v>2.6552</v>
      </c>
      <c r="D499">
        <v>4</v>
      </c>
      <c r="E499" s="1" t="s">
        <v>150</v>
      </c>
      <c r="F499">
        <f t="shared" si="21"/>
        <v>124</v>
      </c>
      <c r="G499">
        <f t="shared" si="22"/>
        <v>27</v>
      </c>
      <c r="H499" s="1">
        <f t="shared" si="23"/>
        <v>0.0175841059602649</v>
      </c>
    </row>
    <row r="500" spans="1:8">
      <c r="A500" t="s">
        <v>560</v>
      </c>
      <c r="B500" t="s">
        <v>12</v>
      </c>
      <c r="C500">
        <v>0.036</v>
      </c>
      <c r="D500">
        <v>3</v>
      </c>
      <c r="E500" s="1" t="s">
        <v>92</v>
      </c>
      <c r="F500">
        <f t="shared" si="21"/>
        <v>160</v>
      </c>
      <c r="G500">
        <f t="shared" si="22"/>
        <v>38</v>
      </c>
      <c r="H500" s="1">
        <f t="shared" si="23"/>
        <v>0.000181818181818182</v>
      </c>
    </row>
    <row r="501" spans="1:8">
      <c r="A501" t="s">
        <v>561</v>
      </c>
      <c r="B501" t="s">
        <v>12</v>
      </c>
      <c r="C501">
        <v>0.042</v>
      </c>
      <c r="D501">
        <v>2</v>
      </c>
      <c r="E501" s="1" t="s">
        <v>562</v>
      </c>
      <c r="F501">
        <v>0</v>
      </c>
      <c r="G501">
        <v>0</v>
      </c>
      <c r="H501" s="1" t="e">
        <f t="shared" si="23"/>
        <v>#DIV/0!</v>
      </c>
    </row>
    <row r="502" spans="1:8">
      <c r="A502" t="s">
        <v>563</v>
      </c>
      <c r="B502" t="s">
        <v>9</v>
      </c>
      <c r="C502">
        <v>2.6322</v>
      </c>
      <c r="D502">
        <v>3</v>
      </c>
      <c r="E502" s="1" t="s">
        <v>150</v>
      </c>
      <c r="F502">
        <f t="shared" si="21"/>
        <v>124</v>
      </c>
      <c r="G502">
        <f t="shared" si="22"/>
        <v>27</v>
      </c>
      <c r="H502" s="1">
        <f t="shared" si="23"/>
        <v>0.0174317880794702</v>
      </c>
    </row>
    <row r="503" spans="1:8">
      <c r="A503" t="s">
        <v>564</v>
      </c>
      <c r="B503" t="s">
        <v>9</v>
      </c>
      <c r="C503">
        <v>0.063</v>
      </c>
      <c r="D503">
        <v>3</v>
      </c>
      <c r="E503" s="1" t="s">
        <v>143</v>
      </c>
      <c r="F503">
        <f t="shared" si="21"/>
        <v>52</v>
      </c>
      <c r="G503">
        <f t="shared" si="22"/>
        <v>26</v>
      </c>
      <c r="H503" s="1">
        <f t="shared" si="23"/>
        <v>0.000807692307692308</v>
      </c>
    </row>
    <row r="504" spans="1:8">
      <c r="A504" t="s">
        <v>565</v>
      </c>
      <c r="B504" t="s">
        <v>12</v>
      </c>
      <c r="C504">
        <v>0.045</v>
      </c>
      <c r="D504">
        <v>3</v>
      </c>
      <c r="E504" s="1" t="s">
        <v>163</v>
      </c>
      <c r="F504">
        <f t="shared" si="21"/>
        <v>4</v>
      </c>
      <c r="G504">
        <f t="shared" si="22"/>
        <v>64</v>
      </c>
      <c r="H504" s="1">
        <f t="shared" si="23"/>
        <v>0.000661764705882353</v>
      </c>
    </row>
    <row r="505" spans="1:8">
      <c r="A505" t="s">
        <v>566</v>
      </c>
      <c r="B505" t="s">
        <v>12</v>
      </c>
      <c r="C505">
        <v>0.0245</v>
      </c>
      <c r="D505">
        <v>1</v>
      </c>
      <c r="E505" s="1" t="s">
        <v>40</v>
      </c>
      <c r="F505">
        <f t="shared" si="21"/>
        <v>336</v>
      </c>
      <c r="G505">
        <f t="shared" si="22"/>
        <v>90</v>
      </c>
      <c r="H505" s="1">
        <f t="shared" si="23"/>
        <v>5.75117370892019e-5</v>
      </c>
    </row>
    <row r="506" spans="1:8">
      <c r="A506" t="s">
        <v>567</v>
      </c>
      <c r="B506" t="s">
        <v>9</v>
      </c>
      <c r="C506">
        <v>0.06</v>
      </c>
      <c r="D506">
        <v>5</v>
      </c>
      <c r="E506" s="1" t="s">
        <v>218</v>
      </c>
      <c r="F506">
        <f t="shared" si="21"/>
        <v>316</v>
      </c>
      <c r="G506">
        <f t="shared" si="22"/>
        <v>7</v>
      </c>
      <c r="H506" s="1">
        <f t="shared" si="23"/>
        <v>0.000185758513931889</v>
      </c>
    </row>
    <row r="507" spans="1:8">
      <c r="A507" t="s">
        <v>568</v>
      </c>
      <c r="B507" t="s">
        <v>12</v>
      </c>
      <c r="C507">
        <v>0.042</v>
      </c>
      <c r="D507">
        <v>2</v>
      </c>
      <c r="E507" s="1" t="s">
        <v>569</v>
      </c>
      <c r="F507">
        <v>0</v>
      </c>
      <c r="G507">
        <v>0</v>
      </c>
      <c r="H507" s="1" t="e">
        <f t="shared" si="23"/>
        <v>#DIV/0!</v>
      </c>
    </row>
    <row r="508" spans="1:8">
      <c r="A508" t="s">
        <v>570</v>
      </c>
      <c r="B508" t="s">
        <v>12</v>
      </c>
      <c r="C508">
        <v>0.4446</v>
      </c>
      <c r="D508">
        <v>1</v>
      </c>
      <c r="E508" s="1" t="s">
        <v>137</v>
      </c>
      <c r="F508">
        <f t="shared" si="21"/>
        <v>143</v>
      </c>
      <c r="G508">
        <f t="shared" si="22"/>
        <v>183</v>
      </c>
      <c r="H508" s="1">
        <f t="shared" si="23"/>
        <v>0.0013638036809816</v>
      </c>
    </row>
    <row r="509" spans="1:8">
      <c r="A509" t="s">
        <v>571</v>
      </c>
      <c r="B509" t="s">
        <v>12</v>
      </c>
      <c r="C509">
        <v>0.648</v>
      </c>
      <c r="D509">
        <v>4</v>
      </c>
      <c r="E509" s="1" t="s">
        <v>175</v>
      </c>
      <c r="F509">
        <f t="shared" si="21"/>
        <v>126</v>
      </c>
      <c r="G509">
        <f t="shared" si="22"/>
        <v>104</v>
      </c>
      <c r="H509" s="1">
        <f t="shared" si="23"/>
        <v>0.00281739130434783</v>
      </c>
    </row>
    <row r="510" spans="1:8">
      <c r="A510" t="s">
        <v>572</v>
      </c>
      <c r="B510" t="s">
        <v>12</v>
      </c>
      <c r="C510">
        <v>0.012</v>
      </c>
      <c r="D510">
        <v>1</v>
      </c>
      <c r="E510" s="1" t="s">
        <v>419</v>
      </c>
      <c r="F510">
        <f t="shared" si="21"/>
        <v>478</v>
      </c>
      <c r="G510">
        <f t="shared" si="22"/>
        <v>118</v>
      </c>
      <c r="H510" s="1">
        <f t="shared" si="23"/>
        <v>2.01342281879195e-5</v>
      </c>
    </row>
    <row r="511" spans="1:8">
      <c r="A511" t="s">
        <v>573</v>
      </c>
      <c r="B511" t="s">
        <v>12</v>
      </c>
      <c r="C511">
        <v>0.018</v>
      </c>
      <c r="D511">
        <v>3</v>
      </c>
      <c r="E511" s="1" t="s">
        <v>163</v>
      </c>
      <c r="F511">
        <f t="shared" si="21"/>
        <v>4</v>
      </c>
      <c r="G511">
        <f t="shared" si="22"/>
        <v>64</v>
      </c>
      <c r="H511" s="1">
        <f t="shared" si="23"/>
        <v>0.000264705882352941</v>
      </c>
    </row>
    <row r="512" spans="1:8">
      <c r="A512" t="s">
        <v>574</v>
      </c>
      <c r="B512" t="s">
        <v>12</v>
      </c>
      <c r="C512">
        <v>0.105</v>
      </c>
      <c r="D512">
        <v>5</v>
      </c>
      <c r="E512" s="1" t="s">
        <v>321</v>
      </c>
      <c r="F512">
        <f t="shared" si="21"/>
        <v>514</v>
      </c>
      <c r="G512">
        <f t="shared" si="22"/>
        <v>68</v>
      </c>
      <c r="H512" s="1">
        <f t="shared" si="23"/>
        <v>0.000180412371134021</v>
      </c>
    </row>
    <row r="513" spans="1:8">
      <c r="A513" t="s">
        <v>238</v>
      </c>
      <c r="B513" t="s">
        <v>12</v>
      </c>
      <c r="C513">
        <v>41.0311</v>
      </c>
      <c r="D513">
        <v>0</v>
      </c>
      <c r="E513" s="1" t="s">
        <v>238</v>
      </c>
      <c r="F513">
        <f t="shared" si="21"/>
        <v>0</v>
      </c>
      <c r="G513">
        <f t="shared" si="22"/>
        <v>99</v>
      </c>
      <c r="H513" s="1">
        <f t="shared" si="23"/>
        <v>0.414455555555556</v>
      </c>
    </row>
    <row r="514" spans="1:8">
      <c r="A514" t="s">
        <v>575</v>
      </c>
      <c r="B514" t="s">
        <v>12</v>
      </c>
      <c r="C514">
        <v>0.859</v>
      </c>
      <c r="D514">
        <v>2</v>
      </c>
      <c r="E514" s="1" t="s">
        <v>135</v>
      </c>
      <c r="F514">
        <f t="shared" si="21"/>
        <v>332</v>
      </c>
      <c r="G514">
        <f t="shared" si="22"/>
        <v>24</v>
      </c>
      <c r="H514" s="1">
        <f t="shared" si="23"/>
        <v>0.00241292134831461</v>
      </c>
    </row>
    <row r="515" spans="1:8">
      <c r="A515" t="s">
        <v>576</v>
      </c>
      <c r="B515" t="s">
        <v>12</v>
      </c>
      <c r="C515">
        <v>0.024</v>
      </c>
      <c r="D515">
        <v>2</v>
      </c>
      <c r="E515" s="1" t="s">
        <v>419</v>
      </c>
      <c r="F515">
        <f t="shared" ref="F515:F578" si="24">VLOOKUP(E515,A:D,4,0)</f>
        <v>478</v>
      </c>
      <c r="G515">
        <f t="shared" ref="G515:G578" si="25">VLOOKUP(E515,T:U,2,0)</f>
        <v>118</v>
      </c>
      <c r="H515" s="1">
        <f t="shared" ref="H515:H578" si="26">C515/(F515+G515)</f>
        <v>4.02684563758389e-5</v>
      </c>
    </row>
    <row r="516" spans="1:8">
      <c r="A516" t="s">
        <v>577</v>
      </c>
      <c r="B516" t="s">
        <v>12</v>
      </c>
      <c r="C516">
        <v>0.0294</v>
      </c>
      <c r="D516">
        <v>1</v>
      </c>
      <c r="E516" s="1" t="s">
        <v>300</v>
      </c>
      <c r="F516">
        <f t="shared" si="24"/>
        <v>547</v>
      </c>
      <c r="G516">
        <f t="shared" si="25"/>
        <v>155</v>
      </c>
      <c r="H516" s="1">
        <f t="shared" si="26"/>
        <v>4.18803418803419e-5</v>
      </c>
    </row>
    <row r="517" spans="1:8">
      <c r="A517" t="s">
        <v>578</v>
      </c>
      <c r="B517" t="s">
        <v>12</v>
      </c>
      <c r="C517">
        <v>0.222</v>
      </c>
      <c r="D517">
        <v>0</v>
      </c>
      <c r="E517" s="1" t="s">
        <v>330</v>
      </c>
      <c r="F517">
        <f t="shared" si="24"/>
        <v>33</v>
      </c>
      <c r="G517">
        <f t="shared" si="25"/>
        <v>7</v>
      </c>
      <c r="H517" s="1">
        <f t="shared" si="26"/>
        <v>0.00555</v>
      </c>
    </row>
    <row r="518" spans="1:8">
      <c r="A518" t="s">
        <v>579</v>
      </c>
      <c r="B518" t="s">
        <v>12</v>
      </c>
      <c r="C518">
        <v>0.012</v>
      </c>
      <c r="D518">
        <v>1</v>
      </c>
      <c r="E518" s="1" t="s">
        <v>419</v>
      </c>
      <c r="F518">
        <f t="shared" si="24"/>
        <v>478</v>
      </c>
      <c r="G518">
        <f t="shared" si="25"/>
        <v>118</v>
      </c>
      <c r="H518" s="1">
        <f t="shared" si="26"/>
        <v>2.01342281879195e-5</v>
      </c>
    </row>
    <row r="519" spans="1:8">
      <c r="A519" t="s">
        <v>580</v>
      </c>
      <c r="B519" t="s">
        <v>12</v>
      </c>
      <c r="C519">
        <v>0.024</v>
      </c>
      <c r="D519">
        <v>2</v>
      </c>
      <c r="E519" s="1" t="s">
        <v>117</v>
      </c>
      <c r="F519">
        <f t="shared" si="24"/>
        <v>77</v>
      </c>
      <c r="G519">
        <f t="shared" si="25"/>
        <v>155</v>
      </c>
      <c r="H519" s="1">
        <f t="shared" si="26"/>
        <v>0.000103448275862069</v>
      </c>
    </row>
    <row r="520" spans="1:8">
      <c r="A520" t="s">
        <v>581</v>
      </c>
      <c r="B520" t="s">
        <v>12</v>
      </c>
      <c r="C520">
        <v>0.171</v>
      </c>
      <c r="D520">
        <v>6</v>
      </c>
      <c r="E520" s="1" t="s">
        <v>83</v>
      </c>
      <c r="F520">
        <f t="shared" si="24"/>
        <v>273</v>
      </c>
      <c r="G520">
        <f t="shared" si="25"/>
        <v>48</v>
      </c>
      <c r="H520" s="1">
        <f t="shared" si="26"/>
        <v>0.000532710280373832</v>
      </c>
    </row>
    <row r="521" spans="1:8">
      <c r="A521" t="s">
        <v>582</v>
      </c>
      <c r="B521" t="s">
        <v>12</v>
      </c>
      <c r="C521">
        <v>0.105</v>
      </c>
      <c r="D521">
        <v>10</v>
      </c>
      <c r="E521" s="1" t="s">
        <v>341</v>
      </c>
      <c r="F521">
        <f t="shared" si="24"/>
        <v>290</v>
      </c>
      <c r="G521">
        <f t="shared" si="25"/>
        <v>22</v>
      </c>
      <c r="H521" s="1">
        <f t="shared" si="26"/>
        <v>0.000336538461538462</v>
      </c>
    </row>
    <row r="522" spans="1:8">
      <c r="A522" t="s">
        <v>583</v>
      </c>
      <c r="B522" t="s">
        <v>12</v>
      </c>
      <c r="C522">
        <v>0.045</v>
      </c>
      <c r="D522">
        <v>3</v>
      </c>
      <c r="E522" s="1" t="s">
        <v>117</v>
      </c>
      <c r="F522">
        <f t="shared" si="24"/>
        <v>77</v>
      </c>
      <c r="G522">
        <f t="shared" si="25"/>
        <v>155</v>
      </c>
      <c r="H522" s="1">
        <f t="shared" si="26"/>
        <v>0.000193965517241379</v>
      </c>
    </row>
    <row r="523" spans="1:8">
      <c r="A523" t="s">
        <v>584</v>
      </c>
      <c r="B523" t="s">
        <v>12</v>
      </c>
      <c r="C523">
        <v>5.9999</v>
      </c>
      <c r="D523">
        <v>7</v>
      </c>
      <c r="E523" s="1" t="s">
        <v>27</v>
      </c>
      <c r="F523">
        <f t="shared" si="24"/>
        <v>899</v>
      </c>
      <c r="G523">
        <f t="shared" si="25"/>
        <v>265</v>
      </c>
      <c r="H523" s="1">
        <f t="shared" si="26"/>
        <v>0.00515455326460481</v>
      </c>
    </row>
    <row r="524" spans="1:8">
      <c r="A524" t="s">
        <v>202</v>
      </c>
      <c r="B524" t="s">
        <v>12</v>
      </c>
      <c r="C524">
        <v>445.7977</v>
      </c>
      <c r="D524">
        <v>155</v>
      </c>
      <c r="E524" s="1" t="s">
        <v>202</v>
      </c>
      <c r="F524">
        <f t="shared" si="24"/>
        <v>155</v>
      </c>
      <c r="G524">
        <f t="shared" si="25"/>
        <v>7</v>
      </c>
      <c r="H524" s="1">
        <f t="shared" si="26"/>
        <v>2.75183765432099</v>
      </c>
    </row>
    <row r="525" spans="1:8">
      <c r="A525" t="s">
        <v>364</v>
      </c>
      <c r="B525" t="s">
        <v>12</v>
      </c>
      <c r="C525">
        <v>90.7059</v>
      </c>
      <c r="D525">
        <v>95</v>
      </c>
      <c r="E525" s="1" t="s">
        <v>364</v>
      </c>
      <c r="F525">
        <f t="shared" si="24"/>
        <v>95</v>
      </c>
      <c r="G525">
        <f t="shared" si="25"/>
        <v>5</v>
      </c>
      <c r="H525" s="1">
        <f t="shared" si="26"/>
        <v>0.907059</v>
      </c>
    </row>
    <row r="526" spans="1:8">
      <c r="A526" t="s">
        <v>585</v>
      </c>
      <c r="B526" t="s">
        <v>12</v>
      </c>
      <c r="C526">
        <v>0.0931</v>
      </c>
      <c r="D526">
        <v>9</v>
      </c>
      <c r="E526" s="1" t="s">
        <v>207</v>
      </c>
      <c r="F526">
        <f t="shared" si="24"/>
        <v>361</v>
      </c>
      <c r="G526">
        <f t="shared" si="25"/>
        <v>44</v>
      </c>
      <c r="H526" s="1">
        <f t="shared" si="26"/>
        <v>0.000229876543209877</v>
      </c>
    </row>
    <row r="527" spans="1:8">
      <c r="A527" t="s">
        <v>586</v>
      </c>
      <c r="B527" t="s">
        <v>12</v>
      </c>
      <c r="C527">
        <v>0.069</v>
      </c>
      <c r="D527">
        <v>9</v>
      </c>
      <c r="E527" s="1" t="s">
        <v>427</v>
      </c>
      <c r="F527">
        <f t="shared" si="24"/>
        <v>129</v>
      </c>
      <c r="G527">
        <f t="shared" si="25"/>
        <v>5</v>
      </c>
      <c r="H527" s="1">
        <f t="shared" si="26"/>
        <v>0.000514925373134328</v>
      </c>
    </row>
    <row r="528" spans="1:8">
      <c r="A528" t="s">
        <v>587</v>
      </c>
      <c r="B528" t="s">
        <v>12</v>
      </c>
      <c r="C528">
        <v>0.021</v>
      </c>
      <c r="D528">
        <v>1</v>
      </c>
      <c r="E528" s="1" t="s">
        <v>588</v>
      </c>
      <c r="F528">
        <v>0</v>
      </c>
      <c r="G528">
        <v>0</v>
      </c>
      <c r="H528" s="1" t="e">
        <f t="shared" si="26"/>
        <v>#DIV/0!</v>
      </c>
    </row>
    <row r="529" spans="1:8">
      <c r="A529" t="s">
        <v>589</v>
      </c>
      <c r="B529" t="s">
        <v>12</v>
      </c>
      <c r="C529">
        <v>0.0813</v>
      </c>
      <c r="D529">
        <v>9</v>
      </c>
      <c r="E529" s="1" t="s">
        <v>326</v>
      </c>
      <c r="F529">
        <f t="shared" si="24"/>
        <v>135</v>
      </c>
      <c r="G529">
        <f t="shared" si="25"/>
        <v>31</v>
      </c>
      <c r="H529" s="1">
        <f t="shared" si="26"/>
        <v>0.000489759036144578</v>
      </c>
    </row>
    <row r="530" spans="1:8">
      <c r="A530" t="s">
        <v>207</v>
      </c>
      <c r="B530" t="s">
        <v>12</v>
      </c>
      <c r="C530">
        <v>589.2063</v>
      </c>
      <c r="D530">
        <v>361</v>
      </c>
      <c r="E530" s="1" t="s">
        <v>207</v>
      </c>
      <c r="F530">
        <f t="shared" si="24"/>
        <v>361</v>
      </c>
      <c r="G530">
        <f t="shared" si="25"/>
        <v>44</v>
      </c>
      <c r="H530" s="1">
        <f t="shared" si="26"/>
        <v>1.45483037037037</v>
      </c>
    </row>
    <row r="531" spans="1:8">
      <c r="A531" t="s">
        <v>590</v>
      </c>
      <c r="B531" t="s">
        <v>12</v>
      </c>
      <c r="C531">
        <v>0.2826</v>
      </c>
      <c r="D531">
        <v>12</v>
      </c>
      <c r="E531" s="1" t="s">
        <v>48</v>
      </c>
      <c r="F531">
        <f t="shared" si="24"/>
        <v>467</v>
      </c>
      <c r="G531">
        <f t="shared" si="25"/>
        <v>217</v>
      </c>
      <c r="H531" s="1">
        <f t="shared" si="26"/>
        <v>0.000413157894736842</v>
      </c>
    </row>
    <row r="532" spans="1:8">
      <c r="A532" t="s">
        <v>591</v>
      </c>
      <c r="B532" t="s">
        <v>12</v>
      </c>
      <c r="C532">
        <v>0.063</v>
      </c>
      <c r="D532">
        <v>3</v>
      </c>
      <c r="E532" s="1" t="s">
        <v>417</v>
      </c>
      <c r="F532">
        <f t="shared" si="24"/>
        <v>261</v>
      </c>
      <c r="G532">
        <f t="shared" si="25"/>
        <v>86</v>
      </c>
      <c r="H532" s="1">
        <f t="shared" si="26"/>
        <v>0.000181556195965418</v>
      </c>
    </row>
    <row r="533" spans="1:8">
      <c r="A533" t="s">
        <v>592</v>
      </c>
      <c r="B533" t="s">
        <v>12</v>
      </c>
      <c r="C533">
        <v>0.042</v>
      </c>
      <c r="D533">
        <v>2</v>
      </c>
      <c r="E533" s="1" t="s">
        <v>20</v>
      </c>
      <c r="F533">
        <f t="shared" si="24"/>
        <v>332</v>
      </c>
      <c r="G533">
        <f t="shared" si="25"/>
        <v>216</v>
      </c>
      <c r="H533" s="1">
        <f t="shared" si="26"/>
        <v>7.66423357664234e-5</v>
      </c>
    </row>
    <row r="534" spans="1:8">
      <c r="A534" t="s">
        <v>593</v>
      </c>
      <c r="B534" t="s">
        <v>12</v>
      </c>
      <c r="C534">
        <v>0.021</v>
      </c>
      <c r="D534">
        <v>1</v>
      </c>
      <c r="E534" s="1" t="s">
        <v>258</v>
      </c>
      <c r="F534">
        <f t="shared" si="24"/>
        <v>25</v>
      </c>
      <c r="G534">
        <f t="shared" si="25"/>
        <v>21</v>
      </c>
      <c r="H534" s="1">
        <f t="shared" si="26"/>
        <v>0.000456521739130435</v>
      </c>
    </row>
    <row r="535" spans="1:8">
      <c r="A535" t="s">
        <v>594</v>
      </c>
      <c r="B535" t="s">
        <v>12</v>
      </c>
      <c r="C535">
        <v>0.024</v>
      </c>
      <c r="D535">
        <v>2</v>
      </c>
      <c r="E535" s="1" t="s">
        <v>595</v>
      </c>
      <c r="F535">
        <v>0</v>
      </c>
      <c r="G535">
        <v>0</v>
      </c>
      <c r="H535" s="1" t="e">
        <f t="shared" si="26"/>
        <v>#DIV/0!</v>
      </c>
    </row>
    <row r="536" spans="1:8">
      <c r="A536" t="s">
        <v>596</v>
      </c>
      <c r="B536" t="s">
        <v>12</v>
      </c>
      <c r="C536">
        <v>0.378</v>
      </c>
      <c r="D536">
        <v>18</v>
      </c>
      <c r="E536" s="1" t="s">
        <v>105</v>
      </c>
      <c r="F536">
        <f t="shared" si="24"/>
        <v>400</v>
      </c>
      <c r="G536">
        <f t="shared" si="25"/>
        <v>44</v>
      </c>
      <c r="H536" s="1">
        <f t="shared" si="26"/>
        <v>0.000851351351351351</v>
      </c>
    </row>
    <row r="537" spans="1:8">
      <c r="A537" t="s">
        <v>597</v>
      </c>
      <c r="B537" t="s">
        <v>12</v>
      </c>
      <c r="C537">
        <v>1.8443</v>
      </c>
      <c r="D537">
        <v>2</v>
      </c>
      <c r="E537" s="1" t="s">
        <v>598</v>
      </c>
      <c r="F537">
        <v>0</v>
      </c>
      <c r="G537">
        <v>0</v>
      </c>
      <c r="H537" s="1" t="e">
        <f t="shared" si="26"/>
        <v>#DIV/0!</v>
      </c>
    </row>
    <row r="538" spans="1:8">
      <c r="A538" t="s">
        <v>599</v>
      </c>
      <c r="B538" t="s">
        <v>12</v>
      </c>
      <c r="C538">
        <v>0.036</v>
      </c>
      <c r="D538">
        <v>3</v>
      </c>
      <c r="E538" s="1" t="s">
        <v>204</v>
      </c>
      <c r="F538">
        <f t="shared" si="24"/>
        <v>398</v>
      </c>
      <c r="G538">
        <f t="shared" si="25"/>
        <v>9</v>
      </c>
      <c r="H538" s="1">
        <f t="shared" si="26"/>
        <v>8.84520884520884e-5</v>
      </c>
    </row>
    <row r="539" spans="1:8">
      <c r="A539" t="s">
        <v>427</v>
      </c>
      <c r="B539" t="s">
        <v>12</v>
      </c>
      <c r="C539">
        <v>235.8936</v>
      </c>
      <c r="D539">
        <v>129</v>
      </c>
      <c r="E539" s="1" t="s">
        <v>427</v>
      </c>
      <c r="F539">
        <f t="shared" si="24"/>
        <v>129</v>
      </c>
      <c r="G539">
        <f t="shared" si="25"/>
        <v>5</v>
      </c>
      <c r="H539" s="1">
        <f t="shared" si="26"/>
        <v>1.7604</v>
      </c>
    </row>
    <row r="540" spans="1:8">
      <c r="A540" t="s">
        <v>600</v>
      </c>
      <c r="B540" t="s">
        <v>12</v>
      </c>
      <c r="C540">
        <v>0.021</v>
      </c>
      <c r="D540">
        <v>1</v>
      </c>
      <c r="E540" s="1" t="s">
        <v>303</v>
      </c>
      <c r="F540">
        <f t="shared" si="24"/>
        <v>144</v>
      </c>
      <c r="G540">
        <f t="shared" si="25"/>
        <v>68</v>
      </c>
      <c r="H540" s="1">
        <f t="shared" si="26"/>
        <v>9.90566037735849e-5</v>
      </c>
    </row>
    <row r="541" spans="1:8">
      <c r="A541" t="s">
        <v>295</v>
      </c>
      <c r="B541" t="s">
        <v>12</v>
      </c>
      <c r="C541">
        <v>10.5717</v>
      </c>
      <c r="D541">
        <v>16</v>
      </c>
      <c r="E541" s="1" t="s">
        <v>295</v>
      </c>
      <c r="F541">
        <f t="shared" si="24"/>
        <v>16</v>
      </c>
      <c r="G541">
        <f t="shared" si="25"/>
        <v>8</v>
      </c>
      <c r="H541" s="1">
        <f t="shared" si="26"/>
        <v>0.4404875</v>
      </c>
    </row>
    <row r="542" spans="1:8">
      <c r="A542" t="s">
        <v>601</v>
      </c>
      <c r="B542" t="s">
        <v>12</v>
      </c>
      <c r="C542">
        <v>0.0392</v>
      </c>
      <c r="D542">
        <v>2</v>
      </c>
      <c r="E542" s="1" t="s">
        <v>234</v>
      </c>
      <c r="F542">
        <f t="shared" si="24"/>
        <v>285</v>
      </c>
      <c r="G542">
        <f t="shared" si="25"/>
        <v>118</v>
      </c>
      <c r="H542" s="1">
        <f t="shared" si="26"/>
        <v>9.72704714640199e-5</v>
      </c>
    </row>
    <row r="543" spans="1:8">
      <c r="A543" t="s">
        <v>602</v>
      </c>
      <c r="B543" t="s">
        <v>12</v>
      </c>
      <c r="C543">
        <v>0.027</v>
      </c>
      <c r="D543">
        <v>1</v>
      </c>
      <c r="E543" s="1" t="s">
        <v>93</v>
      </c>
      <c r="F543">
        <f t="shared" si="24"/>
        <v>178</v>
      </c>
      <c r="G543">
        <f t="shared" si="25"/>
        <v>45</v>
      </c>
      <c r="H543" s="1">
        <f t="shared" si="26"/>
        <v>0.000121076233183857</v>
      </c>
    </row>
    <row r="544" spans="1:8">
      <c r="A544" t="s">
        <v>603</v>
      </c>
      <c r="B544" t="s">
        <v>12</v>
      </c>
      <c r="C544">
        <v>0.0302</v>
      </c>
      <c r="D544">
        <v>3</v>
      </c>
      <c r="E544" s="1" t="s">
        <v>384</v>
      </c>
      <c r="F544">
        <f t="shared" si="24"/>
        <v>363</v>
      </c>
      <c r="G544">
        <f t="shared" si="25"/>
        <v>172</v>
      </c>
      <c r="H544" s="1">
        <f t="shared" si="26"/>
        <v>5.64485981308411e-5</v>
      </c>
    </row>
    <row r="545" spans="1:8">
      <c r="A545" t="s">
        <v>604</v>
      </c>
      <c r="B545" t="s">
        <v>12</v>
      </c>
      <c r="C545">
        <v>1.4178</v>
      </c>
      <c r="D545">
        <v>2</v>
      </c>
      <c r="E545" s="1" t="s">
        <v>595</v>
      </c>
      <c r="F545">
        <v>0</v>
      </c>
      <c r="G545">
        <v>0</v>
      </c>
      <c r="H545" s="1" t="e">
        <f t="shared" si="26"/>
        <v>#DIV/0!</v>
      </c>
    </row>
    <row r="546" spans="1:8">
      <c r="A546" t="s">
        <v>605</v>
      </c>
      <c r="B546" t="s">
        <v>9</v>
      </c>
      <c r="C546">
        <v>0.048</v>
      </c>
      <c r="D546">
        <v>5</v>
      </c>
      <c r="E546" s="1" t="s">
        <v>224</v>
      </c>
      <c r="F546">
        <f t="shared" si="24"/>
        <v>26</v>
      </c>
      <c r="G546">
        <f t="shared" si="25"/>
        <v>3</v>
      </c>
      <c r="H546" s="1">
        <f t="shared" si="26"/>
        <v>0.0016551724137931</v>
      </c>
    </row>
    <row r="547" spans="1:8">
      <c r="A547" t="s">
        <v>425</v>
      </c>
      <c r="B547" t="s">
        <v>12</v>
      </c>
      <c r="C547">
        <v>161.0207</v>
      </c>
      <c r="D547">
        <v>112</v>
      </c>
      <c r="E547" s="1" t="s">
        <v>425</v>
      </c>
      <c r="F547">
        <f t="shared" si="24"/>
        <v>112</v>
      </c>
      <c r="G547">
        <f t="shared" si="25"/>
        <v>3</v>
      </c>
      <c r="H547" s="1">
        <f t="shared" si="26"/>
        <v>1.40018</v>
      </c>
    </row>
    <row r="548" spans="1:8">
      <c r="A548" t="s">
        <v>606</v>
      </c>
      <c r="B548" t="s">
        <v>12</v>
      </c>
      <c r="C548">
        <v>3.468</v>
      </c>
      <c r="D548">
        <v>6</v>
      </c>
      <c r="E548" s="1" t="s">
        <v>291</v>
      </c>
      <c r="F548">
        <f t="shared" si="24"/>
        <v>352</v>
      </c>
      <c r="G548">
        <f t="shared" si="25"/>
        <v>45</v>
      </c>
      <c r="H548" s="1">
        <f t="shared" si="26"/>
        <v>0.00873551637279597</v>
      </c>
    </row>
    <row r="549" spans="1:8">
      <c r="A549" t="s">
        <v>607</v>
      </c>
      <c r="B549" t="s">
        <v>12</v>
      </c>
      <c r="C549">
        <v>0.6666</v>
      </c>
      <c r="D549">
        <v>1</v>
      </c>
      <c r="E549" s="1" t="s">
        <v>185</v>
      </c>
      <c r="F549">
        <f t="shared" si="24"/>
        <v>286</v>
      </c>
      <c r="G549">
        <f t="shared" si="25"/>
        <v>5</v>
      </c>
      <c r="H549" s="1">
        <f t="shared" si="26"/>
        <v>0.00229072164948454</v>
      </c>
    </row>
    <row r="550" spans="1:8">
      <c r="A550" t="s">
        <v>170</v>
      </c>
      <c r="B550" t="s">
        <v>12</v>
      </c>
      <c r="C550">
        <v>146.8147</v>
      </c>
      <c r="D550">
        <v>149</v>
      </c>
      <c r="E550" s="1" t="s">
        <v>170</v>
      </c>
      <c r="F550">
        <f t="shared" si="24"/>
        <v>149</v>
      </c>
      <c r="G550">
        <f t="shared" si="25"/>
        <v>4</v>
      </c>
      <c r="H550" s="1">
        <f t="shared" si="26"/>
        <v>0.959573202614379</v>
      </c>
    </row>
    <row r="551" spans="1:8">
      <c r="A551" t="s">
        <v>608</v>
      </c>
      <c r="B551" t="s">
        <v>12</v>
      </c>
      <c r="C551">
        <v>1.3389</v>
      </c>
      <c r="D551">
        <v>1</v>
      </c>
      <c r="E551" s="1" t="s">
        <v>49</v>
      </c>
      <c r="F551">
        <f t="shared" si="24"/>
        <v>339</v>
      </c>
      <c r="G551">
        <f t="shared" si="25"/>
        <v>20</v>
      </c>
      <c r="H551" s="1">
        <f t="shared" si="26"/>
        <v>0.00372952646239554</v>
      </c>
    </row>
    <row r="552" spans="1:8">
      <c r="A552" t="s">
        <v>171</v>
      </c>
      <c r="B552" t="s">
        <v>12</v>
      </c>
      <c r="C552">
        <v>60.5216</v>
      </c>
      <c r="D552">
        <v>148</v>
      </c>
      <c r="E552" s="1" t="s">
        <v>171</v>
      </c>
      <c r="F552">
        <f t="shared" si="24"/>
        <v>148</v>
      </c>
      <c r="G552">
        <f t="shared" si="25"/>
        <v>4</v>
      </c>
      <c r="H552" s="1">
        <f t="shared" si="26"/>
        <v>0.398168421052632</v>
      </c>
    </row>
    <row r="553" spans="1:8">
      <c r="A553" t="s">
        <v>41</v>
      </c>
      <c r="B553" t="s">
        <v>12</v>
      </c>
      <c r="C553">
        <v>73.431</v>
      </c>
      <c r="D553">
        <v>159</v>
      </c>
      <c r="E553" s="1" t="s">
        <v>41</v>
      </c>
      <c r="F553">
        <f t="shared" si="24"/>
        <v>159</v>
      </c>
      <c r="G553">
        <f t="shared" si="25"/>
        <v>1</v>
      </c>
      <c r="H553" s="1">
        <f t="shared" si="26"/>
        <v>0.45894375</v>
      </c>
    </row>
    <row r="554" spans="1:8">
      <c r="A554" t="s">
        <v>43</v>
      </c>
      <c r="B554" t="s">
        <v>12</v>
      </c>
      <c r="C554">
        <v>64.7503</v>
      </c>
      <c r="D554">
        <v>146</v>
      </c>
      <c r="E554" s="1" t="s">
        <v>43</v>
      </c>
      <c r="F554">
        <f t="shared" si="24"/>
        <v>146</v>
      </c>
      <c r="G554">
        <f t="shared" si="25"/>
        <v>3</v>
      </c>
      <c r="H554" s="1">
        <f t="shared" si="26"/>
        <v>0.434565771812081</v>
      </c>
    </row>
    <row r="555" spans="1:8">
      <c r="A555" t="s">
        <v>39</v>
      </c>
      <c r="B555" t="s">
        <v>12</v>
      </c>
      <c r="C555">
        <v>55.747</v>
      </c>
      <c r="D555">
        <v>120</v>
      </c>
      <c r="E555" s="1" t="s">
        <v>39</v>
      </c>
      <c r="F555">
        <f t="shared" si="24"/>
        <v>120</v>
      </c>
      <c r="G555">
        <f t="shared" si="25"/>
        <v>1</v>
      </c>
      <c r="H555" s="1">
        <f t="shared" si="26"/>
        <v>0.460719008264463</v>
      </c>
    </row>
    <row r="556" spans="1:8">
      <c r="A556" t="s">
        <v>609</v>
      </c>
      <c r="B556" t="s">
        <v>12</v>
      </c>
      <c r="C556">
        <v>0.6139</v>
      </c>
      <c r="D556">
        <v>1</v>
      </c>
      <c r="E556" s="1" t="s">
        <v>300</v>
      </c>
      <c r="F556">
        <f t="shared" si="24"/>
        <v>547</v>
      </c>
      <c r="G556">
        <f t="shared" si="25"/>
        <v>155</v>
      </c>
      <c r="H556" s="1">
        <f t="shared" si="26"/>
        <v>0.000874501424501425</v>
      </c>
    </row>
    <row r="557" spans="1:8">
      <c r="A557" t="s">
        <v>610</v>
      </c>
      <c r="B557" t="s">
        <v>12</v>
      </c>
      <c r="C557">
        <v>1.1351</v>
      </c>
      <c r="D557">
        <v>1</v>
      </c>
      <c r="E557" s="1" t="s">
        <v>357</v>
      </c>
      <c r="F557">
        <f t="shared" si="24"/>
        <v>580</v>
      </c>
      <c r="G557">
        <f t="shared" si="25"/>
        <v>139</v>
      </c>
      <c r="H557" s="1">
        <f t="shared" si="26"/>
        <v>0.00157872044506259</v>
      </c>
    </row>
    <row r="558" spans="1:8">
      <c r="A558" t="s">
        <v>611</v>
      </c>
      <c r="B558" t="s">
        <v>12</v>
      </c>
      <c r="C558">
        <v>0.03</v>
      </c>
      <c r="D558">
        <v>5</v>
      </c>
      <c r="E558" s="1" t="s">
        <v>354</v>
      </c>
      <c r="F558">
        <f t="shared" si="24"/>
        <v>285</v>
      </c>
      <c r="G558">
        <f t="shared" si="25"/>
        <v>16</v>
      </c>
      <c r="H558" s="1">
        <f t="shared" si="26"/>
        <v>9.96677740863787e-5</v>
      </c>
    </row>
    <row r="559" spans="1:8">
      <c r="A559" t="s">
        <v>612</v>
      </c>
      <c r="B559" t="s">
        <v>12</v>
      </c>
      <c r="C559">
        <v>1.08</v>
      </c>
      <c r="D559">
        <v>1</v>
      </c>
      <c r="E559" s="1" t="s">
        <v>317</v>
      </c>
      <c r="F559">
        <f t="shared" si="24"/>
        <v>180</v>
      </c>
      <c r="G559">
        <f t="shared" si="25"/>
        <v>35</v>
      </c>
      <c r="H559" s="1">
        <f t="shared" si="26"/>
        <v>0.00502325581395349</v>
      </c>
    </row>
    <row r="560" spans="1:8">
      <c r="A560" t="s">
        <v>613</v>
      </c>
      <c r="B560" t="s">
        <v>12</v>
      </c>
      <c r="C560">
        <v>0.03</v>
      </c>
      <c r="D560">
        <v>5</v>
      </c>
      <c r="E560" s="1" t="s">
        <v>347</v>
      </c>
      <c r="F560">
        <f t="shared" si="24"/>
        <v>226</v>
      </c>
      <c r="G560">
        <f t="shared" si="25"/>
        <v>64</v>
      </c>
      <c r="H560" s="1">
        <f t="shared" si="26"/>
        <v>0.000103448275862069</v>
      </c>
    </row>
    <row r="561" spans="1:8">
      <c r="A561" t="s">
        <v>614</v>
      </c>
      <c r="B561" t="s">
        <v>12</v>
      </c>
      <c r="C561">
        <v>0.03</v>
      </c>
      <c r="D561">
        <v>5</v>
      </c>
      <c r="E561" s="1" t="s">
        <v>348</v>
      </c>
      <c r="F561">
        <f t="shared" si="24"/>
        <v>227</v>
      </c>
      <c r="G561">
        <f t="shared" si="25"/>
        <v>33</v>
      </c>
      <c r="H561" s="1">
        <f t="shared" si="26"/>
        <v>0.000115384615384615</v>
      </c>
    </row>
    <row r="562" spans="1:8">
      <c r="A562" t="s">
        <v>615</v>
      </c>
      <c r="B562" t="s">
        <v>12</v>
      </c>
      <c r="C562">
        <v>0.0288</v>
      </c>
      <c r="D562">
        <v>5</v>
      </c>
      <c r="E562" s="1" t="s">
        <v>502</v>
      </c>
      <c r="F562">
        <f t="shared" si="24"/>
        <v>200</v>
      </c>
      <c r="G562">
        <v>0</v>
      </c>
      <c r="H562" s="1">
        <f t="shared" si="26"/>
        <v>0.000144</v>
      </c>
    </row>
    <row r="563" spans="1:8">
      <c r="A563" t="s">
        <v>616</v>
      </c>
      <c r="B563" t="s">
        <v>12</v>
      </c>
      <c r="C563">
        <v>0.0552</v>
      </c>
      <c r="D563">
        <v>10</v>
      </c>
      <c r="E563" s="1" t="s">
        <v>356</v>
      </c>
      <c r="F563">
        <v>0</v>
      </c>
      <c r="G563">
        <f t="shared" si="25"/>
        <v>26</v>
      </c>
      <c r="H563" s="1">
        <f t="shared" si="26"/>
        <v>0.00212307692307692</v>
      </c>
    </row>
    <row r="564" spans="1:8">
      <c r="A564" t="s">
        <v>617</v>
      </c>
      <c r="B564" t="s">
        <v>12</v>
      </c>
      <c r="C564">
        <v>0.29</v>
      </c>
      <c r="D564">
        <v>0</v>
      </c>
      <c r="E564" s="1" t="s">
        <v>313</v>
      </c>
      <c r="F564">
        <f t="shared" si="24"/>
        <v>140</v>
      </c>
      <c r="G564">
        <f t="shared" si="25"/>
        <v>22</v>
      </c>
      <c r="H564" s="1">
        <f t="shared" si="26"/>
        <v>0.00179012345679012</v>
      </c>
    </row>
    <row r="565" spans="1:8">
      <c r="A565" t="s">
        <v>618</v>
      </c>
      <c r="B565" t="s">
        <v>12</v>
      </c>
      <c r="C565">
        <v>3.1634</v>
      </c>
      <c r="D565">
        <v>4</v>
      </c>
      <c r="E565" s="1" t="s">
        <v>208</v>
      </c>
      <c r="F565">
        <f t="shared" si="24"/>
        <v>75</v>
      </c>
      <c r="G565">
        <f t="shared" si="25"/>
        <v>70</v>
      </c>
      <c r="H565" s="1">
        <f t="shared" si="26"/>
        <v>0.0218165517241379</v>
      </c>
    </row>
    <row r="566" spans="1:8">
      <c r="A566" t="s">
        <v>37</v>
      </c>
      <c r="B566" t="s">
        <v>12</v>
      </c>
      <c r="C566">
        <v>36.9658</v>
      </c>
      <c r="D566">
        <v>109</v>
      </c>
      <c r="E566" s="1" t="s">
        <v>37</v>
      </c>
      <c r="F566">
        <f t="shared" si="24"/>
        <v>109</v>
      </c>
      <c r="G566">
        <f t="shared" si="25"/>
        <v>3</v>
      </c>
      <c r="H566" s="1">
        <f t="shared" si="26"/>
        <v>0.330051785714286</v>
      </c>
    </row>
    <row r="567" spans="1:8">
      <c r="A567" t="s">
        <v>619</v>
      </c>
      <c r="B567" t="s">
        <v>12</v>
      </c>
      <c r="C567">
        <v>1.0172</v>
      </c>
      <c r="D567">
        <v>5</v>
      </c>
      <c r="E567" s="1" t="s">
        <v>427</v>
      </c>
      <c r="F567">
        <f t="shared" si="24"/>
        <v>129</v>
      </c>
      <c r="G567">
        <f t="shared" si="25"/>
        <v>5</v>
      </c>
      <c r="H567" s="1">
        <f t="shared" si="26"/>
        <v>0.0075910447761194</v>
      </c>
    </row>
    <row r="568" spans="1:8">
      <c r="A568" t="s">
        <v>620</v>
      </c>
      <c r="B568" t="s">
        <v>12</v>
      </c>
      <c r="C568">
        <v>0.1976</v>
      </c>
      <c r="D568">
        <v>4</v>
      </c>
      <c r="E568" s="1" t="s">
        <v>427</v>
      </c>
      <c r="F568">
        <f t="shared" si="24"/>
        <v>129</v>
      </c>
      <c r="G568">
        <f t="shared" si="25"/>
        <v>5</v>
      </c>
      <c r="H568" s="1">
        <f t="shared" si="26"/>
        <v>0.00147462686567164</v>
      </c>
    </row>
    <row r="569" spans="1:8">
      <c r="A569" t="s">
        <v>144</v>
      </c>
      <c r="B569" t="s">
        <v>12</v>
      </c>
      <c r="C569">
        <v>56.7625</v>
      </c>
      <c r="D569">
        <v>365</v>
      </c>
      <c r="E569" s="1" t="s">
        <v>144</v>
      </c>
      <c r="F569">
        <f t="shared" si="24"/>
        <v>365</v>
      </c>
      <c r="G569">
        <f t="shared" si="25"/>
        <v>53</v>
      </c>
      <c r="H569" s="1">
        <f t="shared" si="26"/>
        <v>0.135795454545455</v>
      </c>
    </row>
    <row r="570" spans="1:8">
      <c r="A570" t="s">
        <v>155</v>
      </c>
      <c r="B570" t="s">
        <v>12</v>
      </c>
      <c r="C570">
        <v>48.0396</v>
      </c>
      <c r="D570">
        <v>205</v>
      </c>
      <c r="E570" s="1" t="s">
        <v>155</v>
      </c>
      <c r="F570">
        <f t="shared" si="24"/>
        <v>205</v>
      </c>
      <c r="G570">
        <f t="shared" si="25"/>
        <v>4</v>
      </c>
      <c r="H570" s="1">
        <f t="shared" si="26"/>
        <v>0.229854545454545</v>
      </c>
    </row>
    <row r="571" spans="1:8">
      <c r="A571" t="s">
        <v>621</v>
      </c>
      <c r="B571" t="s">
        <v>12</v>
      </c>
      <c r="C571">
        <v>0.1596</v>
      </c>
      <c r="D571">
        <v>8</v>
      </c>
      <c r="E571" s="1" t="s">
        <v>384</v>
      </c>
      <c r="F571">
        <f t="shared" si="24"/>
        <v>363</v>
      </c>
      <c r="G571">
        <f t="shared" si="25"/>
        <v>172</v>
      </c>
      <c r="H571" s="1">
        <f t="shared" si="26"/>
        <v>0.000298317757009346</v>
      </c>
    </row>
    <row r="572" spans="1:8">
      <c r="A572" t="s">
        <v>157</v>
      </c>
      <c r="B572" t="s">
        <v>12</v>
      </c>
      <c r="C572">
        <v>48.5556</v>
      </c>
      <c r="D572">
        <v>209</v>
      </c>
      <c r="E572" s="1" t="s">
        <v>157</v>
      </c>
      <c r="F572">
        <f t="shared" si="24"/>
        <v>209</v>
      </c>
      <c r="G572">
        <f t="shared" si="25"/>
        <v>1</v>
      </c>
      <c r="H572" s="1">
        <f t="shared" si="26"/>
        <v>0.231217142857143</v>
      </c>
    </row>
    <row r="573" spans="1:8">
      <c r="A573" t="s">
        <v>622</v>
      </c>
      <c r="B573" t="s">
        <v>12</v>
      </c>
      <c r="C573">
        <v>0.2508</v>
      </c>
      <c r="D573">
        <v>1</v>
      </c>
      <c r="E573" s="1" t="s">
        <v>427</v>
      </c>
      <c r="F573">
        <f t="shared" si="24"/>
        <v>129</v>
      </c>
      <c r="G573">
        <f t="shared" si="25"/>
        <v>5</v>
      </c>
      <c r="H573" s="1">
        <f t="shared" si="26"/>
        <v>0.00187164179104478</v>
      </c>
    </row>
    <row r="574" spans="1:8">
      <c r="A574" t="s">
        <v>623</v>
      </c>
      <c r="B574" t="s">
        <v>12</v>
      </c>
      <c r="C574">
        <v>0.0288</v>
      </c>
      <c r="D574">
        <v>5</v>
      </c>
      <c r="E574" s="1" t="s">
        <v>260</v>
      </c>
      <c r="F574">
        <f t="shared" si="24"/>
        <v>141</v>
      </c>
      <c r="G574">
        <f t="shared" si="25"/>
        <v>60</v>
      </c>
      <c r="H574" s="1">
        <f t="shared" si="26"/>
        <v>0.000143283582089552</v>
      </c>
    </row>
    <row r="575" spans="1:8">
      <c r="A575" t="s">
        <v>624</v>
      </c>
      <c r="B575" t="s">
        <v>12</v>
      </c>
      <c r="C575">
        <v>0.6834</v>
      </c>
      <c r="D575">
        <v>3</v>
      </c>
      <c r="E575" s="1" t="s">
        <v>137</v>
      </c>
      <c r="F575">
        <f t="shared" si="24"/>
        <v>143</v>
      </c>
      <c r="G575">
        <f t="shared" si="25"/>
        <v>183</v>
      </c>
      <c r="H575" s="1">
        <f t="shared" si="26"/>
        <v>0.00209631901840491</v>
      </c>
    </row>
    <row r="576" spans="1:8">
      <c r="A576" t="s">
        <v>625</v>
      </c>
      <c r="B576" t="s">
        <v>12</v>
      </c>
      <c r="C576">
        <v>0.126</v>
      </c>
      <c r="D576">
        <v>2</v>
      </c>
      <c r="E576" s="1" t="s">
        <v>137</v>
      </c>
      <c r="F576">
        <f t="shared" si="24"/>
        <v>143</v>
      </c>
      <c r="G576">
        <f t="shared" si="25"/>
        <v>183</v>
      </c>
      <c r="H576" s="1">
        <f t="shared" si="26"/>
        <v>0.000386503067484663</v>
      </c>
    </row>
    <row r="577" spans="1:8">
      <c r="A577" t="s">
        <v>626</v>
      </c>
      <c r="B577" t="s">
        <v>12</v>
      </c>
      <c r="C577">
        <v>0.8792</v>
      </c>
      <c r="D577">
        <v>3</v>
      </c>
      <c r="E577" s="1" t="s">
        <v>342</v>
      </c>
      <c r="F577">
        <f t="shared" si="24"/>
        <v>236</v>
      </c>
      <c r="G577">
        <f t="shared" si="25"/>
        <v>78</v>
      </c>
      <c r="H577" s="1">
        <f t="shared" si="26"/>
        <v>0.0028</v>
      </c>
    </row>
    <row r="578" spans="1:8">
      <c r="A578" t="s">
        <v>627</v>
      </c>
      <c r="B578" t="s">
        <v>12</v>
      </c>
      <c r="C578">
        <v>0.2453</v>
      </c>
      <c r="D578">
        <v>1</v>
      </c>
      <c r="E578" s="1" t="s">
        <v>292</v>
      </c>
      <c r="F578">
        <f t="shared" si="24"/>
        <v>280</v>
      </c>
      <c r="G578">
        <f t="shared" si="25"/>
        <v>20</v>
      </c>
      <c r="H578" s="1">
        <f t="shared" si="26"/>
        <v>0.000817666666666667</v>
      </c>
    </row>
    <row r="579" spans="1:8">
      <c r="A579" t="s">
        <v>628</v>
      </c>
      <c r="B579" t="s">
        <v>12</v>
      </c>
      <c r="C579">
        <v>1.4171</v>
      </c>
      <c r="D579">
        <v>1</v>
      </c>
      <c r="E579" s="1" t="s">
        <v>310</v>
      </c>
      <c r="F579">
        <f t="shared" ref="F579:F642" si="27">VLOOKUP(E579,A:D,4,0)</f>
        <v>116</v>
      </c>
      <c r="G579">
        <f t="shared" ref="G579:G642" si="28">VLOOKUP(E579,T:U,2,0)</f>
        <v>55</v>
      </c>
      <c r="H579" s="1">
        <f t="shared" ref="H579:H642" si="29">C579/(F579+G579)</f>
        <v>0.00828713450292398</v>
      </c>
    </row>
    <row r="580" spans="1:8">
      <c r="A580" t="s">
        <v>629</v>
      </c>
      <c r="B580" t="s">
        <v>12</v>
      </c>
      <c r="C580">
        <v>0.2343</v>
      </c>
      <c r="D580">
        <v>1</v>
      </c>
      <c r="E580" s="1" t="s">
        <v>630</v>
      </c>
      <c r="F580">
        <v>0</v>
      </c>
      <c r="G580">
        <v>0</v>
      </c>
      <c r="H580" s="1" t="e">
        <f t="shared" si="29"/>
        <v>#DIV/0!</v>
      </c>
    </row>
    <row r="581" spans="1:8">
      <c r="A581" t="s">
        <v>631</v>
      </c>
      <c r="B581" t="s">
        <v>12</v>
      </c>
      <c r="C581">
        <v>2.8047</v>
      </c>
      <c r="D581">
        <v>3</v>
      </c>
      <c r="E581" s="1" t="s">
        <v>53</v>
      </c>
      <c r="F581">
        <f t="shared" si="27"/>
        <v>338</v>
      </c>
      <c r="G581">
        <f t="shared" si="28"/>
        <v>58</v>
      </c>
      <c r="H581" s="1">
        <f t="shared" si="29"/>
        <v>0.00708257575757576</v>
      </c>
    </row>
    <row r="582" spans="1:8">
      <c r="A582" t="s">
        <v>632</v>
      </c>
      <c r="B582" t="s">
        <v>12</v>
      </c>
      <c r="C582">
        <v>0.4033</v>
      </c>
      <c r="D582">
        <v>4</v>
      </c>
      <c r="E582" s="1" t="s">
        <v>395</v>
      </c>
      <c r="F582">
        <f t="shared" si="27"/>
        <v>70</v>
      </c>
      <c r="G582">
        <f t="shared" si="28"/>
        <v>15</v>
      </c>
      <c r="H582" s="1">
        <f t="shared" si="29"/>
        <v>0.00474470588235294</v>
      </c>
    </row>
    <row r="583" spans="1:8">
      <c r="A583" t="s">
        <v>633</v>
      </c>
      <c r="B583" t="s">
        <v>12</v>
      </c>
      <c r="C583">
        <v>2.8012</v>
      </c>
      <c r="D583">
        <v>6</v>
      </c>
      <c r="E583" s="1" t="s">
        <v>403</v>
      </c>
      <c r="F583">
        <v>0</v>
      </c>
      <c r="G583">
        <v>0</v>
      </c>
      <c r="H583" s="1" t="e">
        <f t="shared" si="29"/>
        <v>#DIV/0!</v>
      </c>
    </row>
    <row r="584" spans="1:8">
      <c r="A584" t="s">
        <v>634</v>
      </c>
      <c r="B584" t="s">
        <v>12</v>
      </c>
      <c r="C584">
        <v>0.2492</v>
      </c>
      <c r="D584">
        <v>1</v>
      </c>
      <c r="E584" s="1" t="s">
        <v>386</v>
      </c>
      <c r="F584">
        <f t="shared" si="27"/>
        <v>13</v>
      </c>
      <c r="G584">
        <f t="shared" si="28"/>
        <v>37</v>
      </c>
      <c r="H584" s="1">
        <f t="shared" si="29"/>
        <v>0.004984</v>
      </c>
    </row>
    <row r="585" spans="1:8">
      <c r="A585" t="s">
        <v>635</v>
      </c>
      <c r="B585" t="s">
        <v>12</v>
      </c>
      <c r="C585">
        <v>2.8807</v>
      </c>
      <c r="D585">
        <v>4</v>
      </c>
      <c r="E585" s="1" t="s">
        <v>164</v>
      </c>
      <c r="F585">
        <f t="shared" si="27"/>
        <v>206</v>
      </c>
      <c r="G585">
        <f t="shared" si="28"/>
        <v>23</v>
      </c>
      <c r="H585" s="1">
        <f t="shared" si="29"/>
        <v>0.0125794759825328</v>
      </c>
    </row>
    <row r="586" spans="1:8">
      <c r="A586" t="s">
        <v>636</v>
      </c>
      <c r="B586" t="s">
        <v>12</v>
      </c>
      <c r="C586">
        <v>0.3286</v>
      </c>
      <c r="D586">
        <v>4</v>
      </c>
      <c r="E586" s="1" t="s">
        <v>335</v>
      </c>
      <c r="F586">
        <f t="shared" si="27"/>
        <v>168</v>
      </c>
      <c r="G586">
        <f t="shared" si="28"/>
        <v>154</v>
      </c>
      <c r="H586" s="1">
        <f t="shared" si="29"/>
        <v>0.00102049689440994</v>
      </c>
    </row>
    <row r="587" spans="1:8">
      <c r="A587" t="s">
        <v>637</v>
      </c>
      <c r="B587" t="s">
        <v>12</v>
      </c>
      <c r="C587">
        <v>0.0457</v>
      </c>
      <c r="D587">
        <v>1</v>
      </c>
      <c r="E587" s="1" t="s">
        <v>212</v>
      </c>
      <c r="F587">
        <f t="shared" si="27"/>
        <v>168</v>
      </c>
      <c r="G587">
        <f t="shared" si="28"/>
        <v>29</v>
      </c>
      <c r="H587" s="1">
        <f t="shared" si="29"/>
        <v>0.000231979695431472</v>
      </c>
    </row>
    <row r="588" spans="1:8">
      <c r="A588" t="s">
        <v>638</v>
      </c>
      <c r="B588" t="s">
        <v>12</v>
      </c>
      <c r="C588">
        <v>0.0328</v>
      </c>
      <c r="D588">
        <v>1</v>
      </c>
      <c r="E588" s="1" t="s">
        <v>320</v>
      </c>
      <c r="F588">
        <f t="shared" si="27"/>
        <v>116</v>
      </c>
      <c r="G588">
        <f t="shared" si="28"/>
        <v>3</v>
      </c>
      <c r="H588" s="1">
        <f t="shared" si="29"/>
        <v>0.00027563025210084</v>
      </c>
    </row>
    <row r="589" spans="1:8">
      <c r="A589" t="s">
        <v>639</v>
      </c>
      <c r="B589" t="s">
        <v>12</v>
      </c>
      <c r="C589">
        <v>0.9167</v>
      </c>
      <c r="D589">
        <v>1</v>
      </c>
      <c r="E589" s="1" t="s">
        <v>74</v>
      </c>
      <c r="F589">
        <f t="shared" si="27"/>
        <v>372</v>
      </c>
      <c r="G589">
        <f t="shared" si="28"/>
        <v>46</v>
      </c>
      <c r="H589" s="1">
        <f t="shared" si="29"/>
        <v>0.00219306220095694</v>
      </c>
    </row>
    <row r="590" spans="1:8">
      <c r="A590" t="s">
        <v>368</v>
      </c>
      <c r="B590" t="s">
        <v>12</v>
      </c>
      <c r="C590">
        <v>1.4518</v>
      </c>
      <c r="D590">
        <v>1</v>
      </c>
      <c r="E590" s="1" t="s">
        <v>249</v>
      </c>
      <c r="F590">
        <f t="shared" si="27"/>
        <v>284</v>
      </c>
      <c r="G590">
        <f t="shared" si="28"/>
        <v>79</v>
      </c>
      <c r="H590" s="1">
        <f t="shared" si="29"/>
        <v>0.00399944903581267</v>
      </c>
    </row>
    <row r="591" spans="1:8">
      <c r="A591" t="s">
        <v>414</v>
      </c>
      <c r="B591" t="s">
        <v>12</v>
      </c>
      <c r="C591">
        <v>2.2269</v>
      </c>
      <c r="D591">
        <v>2</v>
      </c>
      <c r="E591" s="1" t="s">
        <v>640</v>
      </c>
      <c r="F591">
        <v>0</v>
      </c>
      <c r="G591">
        <v>0</v>
      </c>
      <c r="H591" s="1" t="e">
        <f t="shared" si="29"/>
        <v>#DIV/0!</v>
      </c>
    </row>
    <row r="592" spans="1:8">
      <c r="A592" t="s">
        <v>641</v>
      </c>
      <c r="B592" t="s">
        <v>12</v>
      </c>
      <c r="C592">
        <v>2.1368</v>
      </c>
      <c r="D592">
        <v>4</v>
      </c>
      <c r="E592" s="1" t="s">
        <v>95</v>
      </c>
      <c r="F592">
        <f t="shared" si="27"/>
        <v>406</v>
      </c>
      <c r="G592">
        <f t="shared" si="28"/>
        <v>137</v>
      </c>
      <c r="H592" s="1">
        <f t="shared" si="29"/>
        <v>0.00393517495395948</v>
      </c>
    </row>
    <row r="593" spans="1:8">
      <c r="A593" t="s">
        <v>642</v>
      </c>
      <c r="B593" t="s">
        <v>9</v>
      </c>
      <c r="C593">
        <v>11.7712</v>
      </c>
      <c r="D593">
        <v>8</v>
      </c>
      <c r="E593" s="1" t="s">
        <v>88</v>
      </c>
      <c r="F593">
        <f t="shared" si="27"/>
        <v>58</v>
      </c>
      <c r="G593">
        <f t="shared" si="28"/>
        <v>52</v>
      </c>
      <c r="H593" s="1">
        <f t="shared" si="29"/>
        <v>0.107010909090909</v>
      </c>
    </row>
    <row r="594" spans="1:8">
      <c r="A594" t="s">
        <v>643</v>
      </c>
      <c r="B594" t="s">
        <v>12</v>
      </c>
      <c r="C594">
        <v>0.54</v>
      </c>
      <c r="D594">
        <v>0</v>
      </c>
      <c r="E594" s="1" t="s">
        <v>172</v>
      </c>
      <c r="F594">
        <f t="shared" si="27"/>
        <v>417</v>
      </c>
      <c r="G594">
        <f t="shared" si="28"/>
        <v>74</v>
      </c>
      <c r="H594" s="1">
        <f t="shared" si="29"/>
        <v>0.00109979633401222</v>
      </c>
    </row>
    <row r="595" spans="1:8">
      <c r="A595" t="s">
        <v>644</v>
      </c>
      <c r="B595" t="s">
        <v>12</v>
      </c>
      <c r="C595">
        <v>1.3318</v>
      </c>
      <c r="D595">
        <v>2</v>
      </c>
      <c r="E595" s="1" t="s">
        <v>48</v>
      </c>
      <c r="F595">
        <f t="shared" si="27"/>
        <v>467</v>
      </c>
      <c r="G595">
        <f t="shared" si="28"/>
        <v>217</v>
      </c>
      <c r="H595" s="1">
        <f t="shared" si="29"/>
        <v>0.00194707602339181</v>
      </c>
    </row>
    <row r="596" spans="1:8">
      <c r="A596" t="s">
        <v>645</v>
      </c>
      <c r="B596" t="s">
        <v>12</v>
      </c>
      <c r="C596">
        <v>0.3672</v>
      </c>
      <c r="D596">
        <v>1</v>
      </c>
      <c r="E596" s="1" t="s">
        <v>40</v>
      </c>
      <c r="F596">
        <f t="shared" si="27"/>
        <v>336</v>
      </c>
      <c r="G596">
        <f t="shared" si="28"/>
        <v>90</v>
      </c>
      <c r="H596" s="1">
        <f t="shared" si="29"/>
        <v>0.000861971830985916</v>
      </c>
    </row>
    <row r="597" spans="1:8">
      <c r="A597" t="s">
        <v>646</v>
      </c>
      <c r="B597" t="s">
        <v>9</v>
      </c>
      <c r="C597">
        <v>2.2482</v>
      </c>
      <c r="D597">
        <v>1</v>
      </c>
      <c r="E597" s="1" t="s">
        <v>71</v>
      </c>
      <c r="F597">
        <f t="shared" si="27"/>
        <v>180</v>
      </c>
      <c r="G597">
        <f t="shared" si="28"/>
        <v>12</v>
      </c>
      <c r="H597" s="1">
        <f t="shared" si="29"/>
        <v>0.011709375</v>
      </c>
    </row>
    <row r="598" spans="1:8">
      <c r="A598" t="s">
        <v>647</v>
      </c>
      <c r="B598" t="s">
        <v>12</v>
      </c>
      <c r="C598">
        <v>1.2912</v>
      </c>
      <c r="D598">
        <v>1</v>
      </c>
      <c r="E598" s="1" t="s">
        <v>318</v>
      </c>
      <c r="F598">
        <f t="shared" si="27"/>
        <v>312</v>
      </c>
      <c r="G598">
        <f t="shared" si="28"/>
        <v>130</v>
      </c>
      <c r="H598" s="1">
        <f t="shared" si="29"/>
        <v>0.00292126696832579</v>
      </c>
    </row>
    <row r="599" spans="1:8">
      <c r="A599" t="s">
        <v>445</v>
      </c>
      <c r="B599" t="s">
        <v>12</v>
      </c>
      <c r="C599">
        <v>0.7476</v>
      </c>
      <c r="D599">
        <v>0</v>
      </c>
      <c r="E599" s="1" t="s">
        <v>222</v>
      </c>
      <c r="F599">
        <f t="shared" si="27"/>
        <v>421</v>
      </c>
      <c r="G599">
        <f t="shared" si="28"/>
        <v>49</v>
      </c>
      <c r="H599" s="1">
        <f t="shared" si="29"/>
        <v>0.00159063829787234</v>
      </c>
    </row>
    <row r="600" spans="1:8">
      <c r="A600" t="s">
        <v>648</v>
      </c>
      <c r="B600" t="s">
        <v>12</v>
      </c>
      <c r="C600">
        <v>3.4008</v>
      </c>
      <c r="D600">
        <v>4</v>
      </c>
      <c r="E600" s="1" t="s">
        <v>287</v>
      </c>
      <c r="F600">
        <f t="shared" si="27"/>
        <v>454</v>
      </c>
      <c r="G600">
        <f t="shared" si="28"/>
        <v>166</v>
      </c>
      <c r="H600" s="1">
        <f t="shared" si="29"/>
        <v>0.00548516129032258</v>
      </c>
    </row>
    <row r="601" spans="1:8">
      <c r="A601" t="s">
        <v>649</v>
      </c>
      <c r="B601" t="s">
        <v>12</v>
      </c>
      <c r="C601">
        <v>1.2354</v>
      </c>
      <c r="D601">
        <v>4</v>
      </c>
      <c r="E601" s="1" t="s">
        <v>144</v>
      </c>
      <c r="F601">
        <f t="shared" si="27"/>
        <v>365</v>
      </c>
      <c r="G601">
        <f t="shared" si="28"/>
        <v>53</v>
      </c>
      <c r="H601" s="1">
        <f t="shared" si="29"/>
        <v>0.0029555023923445</v>
      </c>
    </row>
    <row r="602" spans="1:8">
      <c r="A602" t="s">
        <v>650</v>
      </c>
      <c r="B602" t="s">
        <v>12</v>
      </c>
      <c r="C602">
        <v>0.3672</v>
      </c>
      <c r="D602">
        <v>0</v>
      </c>
      <c r="E602" s="1" t="s">
        <v>253</v>
      </c>
      <c r="F602">
        <f t="shared" si="27"/>
        <v>28</v>
      </c>
      <c r="G602">
        <f t="shared" si="28"/>
        <v>11</v>
      </c>
      <c r="H602" s="1">
        <f t="shared" si="29"/>
        <v>0.00941538461538462</v>
      </c>
    </row>
    <row r="603" spans="1:8">
      <c r="A603" t="s">
        <v>651</v>
      </c>
      <c r="B603" t="s">
        <v>12</v>
      </c>
      <c r="C603">
        <v>0.039</v>
      </c>
      <c r="D603">
        <v>5</v>
      </c>
      <c r="E603" s="1" t="s">
        <v>152</v>
      </c>
      <c r="F603">
        <f t="shared" si="27"/>
        <v>37</v>
      </c>
      <c r="G603">
        <f t="shared" si="28"/>
        <v>109</v>
      </c>
      <c r="H603" s="1">
        <f t="shared" si="29"/>
        <v>0.000267123287671233</v>
      </c>
    </row>
    <row r="604" spans="1:8">
      <c r="A604" t="s">
        <v>652</v>
      </c>
      <c r="B604" t="s">
        <v>12</v>
      </c>
      <c r="C604">
        <v>1.1888</v>
      </c>
      <c r="D604">
        <v>2</v>
      </c>
      <c r="E604" s="1" t="s">
        <v>242</v>
      </c>
      <c r="F604">
        <f t="shared" si="27"/>
        <v>305</v>
      </c>
      <c r="G604">
        <f t="shared" si="28"/>
        <v>6</v>
      </c>
      <c r="H604" s="1">
        <f t="shared" si="29"/>
        <v>0.00382250803858521</v>
      </c>
    </row>
    <row r="605" spans="1:8">
      <c r="A605" t="s">
        <v>375</v>
      </c>
      <c r="B605" t="s">
        <v>12</v>
      </c>
      <c r="C605">
        <v>1.3329</v>
      </c>
      <c r="D605">
        <v>2</v>
      </c>
      <c r="E605" s="1" t="s">
        <v>241</v>
      </c>
      <c r="F605">
        <f t="shared" si="27"/>
        <v>202</v>
      </c>
      <c r="G605">
        <f t="shared" si="28"/>
        <v>33</v>
      </c>
      <c r="H605" s="1">
        <f t="shared" si="29"/>
        <v>0.00567191489361702</v>
      </c>
    </row>
    <row r="606" spans="1:8">
      <c r="A606" t="s">
        <v>653</v>
      </c>
      <c r="B606" t="s">
        <v>12</v>
      </c>
      <c r="C606">
        <v>1.1544</v>
      </c>
      <c r="D606">
        <v>1</v>
      </c>
      <c r="E606" s="1" t="s">
        <v>274</v>
      </c>
      <c r="F606">
        <f t="shared" si="27"/>
        <v>384</v>
      </c>
      <c r="G606">
        <f t="shared" si="28"/>
        <v>17</v>
      </c>
      <c r="H606" s="1">
        <f t="shared" si="29"/>
        <v>0.0028788029925187</v>
      </c>
    </row>
    <row r="607" spans="1:8">
      <c r="A607" t="s">
        <v>654</v>
      </c>
      <c r="B607" t="s">
        <v>12</v>
      </c>
      <c r="C607">
        <v>0.039</v>
      </c>
      <c r="D607">
        <v>5</v>
      </c>
      <c r="E607" s="1" t="s">
        <v>232</v>
      </c>
      <c r="F607">
        <f t="shared" si="27"/>
        <v>0</v>
      </c>
      <c r="G607">
        <f t="shared" si="28"/>
        <v>72</v>
      </c>
      <c r="H607" s="1">
        <f t="shared" si="29"/>
        <v>0.000541666666666667</v>
      </c>
    </row>
    <row r="608" spans="1:8">
      <c r="A608" t="s">
        <v>655</v>
      </c>
      <c r="B608" t="s">
        <v>12</v>
      </c>
      <c r="C608">
        <v>0.243</v>
      </c>
      <c r="D608">
        <v>2</v>
      </c>
      <c r="E608" s="1" t="s">
        <v>258</v>
      </c>
      <c r="F608">
        <f t="shared" si="27"/>
        <v>25</v>
      </c>
      <c r="G608">
        <f t="shared" si="28"/>
        <v>21</v>
      </c>
      <c r="H608" s="1">
        <f t="shared" si="29"/>
        <v>0.00528260869565217</v>
      </c>
    </row>
    <row r="609" spans="1:8">
      <c r="A609" t="s">
        <v>656</v>
      </c>
      <c r="B609" t="s">
        <v>12</v>
      </c>
      <c r="C609">
        <v>0.024</v>
      </c>
      <c r="D609">
        <v>3</v>
      </c>
      <c r="E609" s="1" t="s">
        <v>232</v>
      </c>
      <c r="F609">
        <f t="shared" si="27"/>
        <v>0</v>
      </c>
      <c r="G609">
        <f t="shared" si="28"/>
        <v>72</v>
      </c>
      <c r="H609" s="1">
        <f t="shared" si="29"/>
        <v>0.000333333333333333</v>
      </c>
    </row>
    <row r="610" spans="1:8">
      <c r="A610" t="s">
        <v>657</v>
      </c>
      <c r="B610" t="s">
        <v>12</v>
      </c>
      <c r="C610">
        <v>2.4854</v>
      </c>
      <c r="D610">
        <v>2</v>
      </c>
      <c r="E610" s="1" t="s">
        <v>281</v>
      </c>
      <c r="F610">
        <f t="shared" si="27"/>
        <v>108</v>
      </c>
      <c r="G610">
        <f t="shared" si="28"/>
        <v>92</v>
      </c>
      <c r="H610" s="1">
        <f t="shared" si="29"/>
        <v>0.012427</v>
      </c>
    </row>
    <row r="611" spans="1:8">
      <c r="A611" t="s">
        <v>338</v>
      </c>
      <c r="B611" t="s">
        <v>12</v>
      </c>
      <c r="C611">
        <v>5.132</v>
      </c>
      <c r="D611">
        <v>8</v>
      </c>
      <c r="E611" s="1" t="s">
        <v>176</v>
      </c>
      <c r="F611">
        <f t="shared" si="27"/>
        <v>931</v>
      </c>
      <c r="G611">
        <f t="shared" si="28"/>
        <v>293</v>
      </c>
      <c r="H611" s="1">
        <f t="shared" si="29"/>
        <v>0.00419281045751634</v>
      </c>
    </row>
    <row r="612" spans="1:8">
      <c r="A612" t="s">
        <v>658</v>
      </c>
      <c r="B612" t="s">
        <v>12</v>
      </c>
      <c r="C612">
        <v>2.2226</v>
      </c>
      <c r="D612">
        <v>4</v>
      </c>
      <c r="E612" s="1" t="s">
        <v>299</v>
      </c>
      <c r="F612">
        <v>0</v>
      </c>
      <c r="G612">
        <f t="shared" si="28"/>
        <v>15</v>
      </c>
      <c r="H612" s="1">
        <f t="shared" si="29"/>
        <v>0.148173333333333</v>
      </c>
    </row>
    <row r="613" spans="1:8">
      <c r="A613" t="s">
        <v>659</v>
      </c>
      <c r="B613" t="s">
        <v>12</v>
      </c>
      <c r="C613">
        <v>4.322</v>
      </c>
      <c r="D613">
        <v>9</v>
      </c>
      <c r="E613" s="1" t="s">
        <v>282</v>
      </c>
      <c r="F613">
        <f t="shared" si="27"/>
        <v>853</v>
      </c>
      <c r="G613">
        <f t="shared" si="28"/>
        <v>314</v>
      </c>
      <c r="H613" s="1">
        <f t="shared" si="29"/>
        <v>0.00370351328191945</v>
      </c>
    </row>
    <row r="614" spans="1:8">
      <c r="A614" t="s">
        <v>235</v>
      </c>
      <c r="B614" t="s">
        <v>9</v>
      </c>
      <c r="C614">
        <v>26.6837</v>
      </c>
      <c r="D614">
        <v>17</v>
      </c>
      <c r="E614" s="1" t="s">
        <v>235</v>
      </c>
      <c r="F614">
        <f t="shared" si="27"/>
        <v>17</v>
      </c>
      <c r="G614">
        <f t="shared" si="28"/>
        <v>12</v>
      </c>
      <c r="H614" s="1">
        <f t="shared" si="29"/>
        <v>0.920127586206897</v>
      </c>
    </row>
    <row r="615" spans="1:8">
      <c r="A615" t="s">
        <v>423</v>
      </c>
      <c r="B615" t="s">
        <v>12</v>
      </c>
      <c r="C615">
        <v>0.14</v>
      </c>
      <c r="D615">
        <v>0</v>
      </c>
      <c r="E615" s="1" t="s">
        <v>423</v>
      </c>
      <c r="F615">
        <f t="shared" si="27"/>
        <v>0</v>
      </c>
      <c r="G615">
        <f t="shared" si="28"/>
        <v>2</v>
      </c>
      <c r="H615" s="1">
        <f t="shared" si="29"/>
        <v>0.07</v>
      </c>
    </row>
    <row r="616" spans="1:8">
      <c r="A616" t="s">
        <v>660</v>
      </c>
      <c r="B616" t="s">
        <v>12</v>
      </c>
      <c r="C616">
        <v>0.6944</v>
      </c>
      <c r="D616">
        <v>1</v>
      </c>
      <c r="E616" s="1" t="s">
        <v>227</v>
      </c>
      <c r="F616">
        <f t="shared" si="27"/>
        <v>96</v>
      </c>
      <c r="G616">
        <f t="shared" si="28"/>
        <v>13</v>
      </c>
      <c r="H616" s="1">
        <f t="shared" si="29"/>
        <v>0.00637064220183486</v>
      </c>
    </row>
    <row r="617" spans="1:8">
      <c r="A617" t="s">
        <v>661</v>
      </c>
      <c r="B617" t="s">
        <v>12</v>
      </c>
      <c r="C617">
        <v>5.034</v>
      </c>
      <c r="D617">
        <v>7</v>
      </c>
      <c r="E617" s="1" t="s">
        <v>661</v>
      </c>
      <c r="F617">
        <f t="shared" si="27"/>
        <v>7</v>
      </c>
      <c r="G617">
        <v>0</v>
      </c>
      <c r="H617" s="1">
        <f t="shared" si="29"/>
        <v>0.719142857142857</v>
      </c>
    </row>
    <row r="618" spans="1:8">
      <c r="A618" t="s">
        <v>662</v>
      </c>
      <c r="B618" t="s">
        <v>12</v>
      </c>
      <c r="C618">
        <v>0.8249</v>
      </c>
      <c r="D618">
        <v>1</v>
      </c>
      <c r="E618" s="1" t="s">
        <v>303</v>
      </c>
      <c r="F618">
        <f t="shared" si="27"/>
        <v>144</v>
      </c>
      <c r="G618">
        <f t="shared" si="28"/>
        <v>68</v>
      </c>
      <c r="H618" s="1">
        <f t="shared" si="29"/>
        <v>0.00389103773584906</v>
      </c>
    </row>
    <row r="619" spans="1:8">
      <c r="A619" t="s">
        <v>663</v>
      </c>
      <c r="B619" t="s">
        <v>12</v>
      </c>
      <c r="C619">
        <v>1.092</v>
      </c>
      <c r="D619">
        <v>1</v>
      </c>
      <c r="E619" s="1" t="s">
        <v>175</v>
      </c>
      <c r="F619">
        <f t="shared" si="27"/>
        <v>126</v>
      </c>
      <c r="G619">
        <f t="shared" si="28"/>
        <v>104</v>
      </c>
      <c r="H619" s="1">
        <f t="shared" si="29"/>
        <v>0.00474782608695652</v>
      </c>
    </row>
    <row r="620" spans="1:8">
      <c r="A620" t="s">
        <v>664</v>
      </c>
      <c r="B620" t="s">
        <v>12</v>
      </c>
      <c r="C620">
        <v>0.4842</v>
      </c>
      <c r="D620">
        <v>0</v>
      </c>
      <c r="E620" s="1" t="s">
        <v>261</v>
      </c>
      <c r="F620">
        <f t="shared" si="27"/>
        <v>2</v>
      </c>
      <c r="G620">
        <f t="shared" si="28"/>
        <v>25</v>
      </c>
      <c r="H620" s="1">
        <f t="shared" si="29"/>
        <v>0.0179333333333333</v>
      </c>
    </row>
    <row r="621" spans="1:8">
      <c r="A621" t="s">
        <v>665</v>
      </c>
      <c r="B621" t="s">
        <v>12</v>
      </c>
      <c r="C621">
        <v>0.449</v>
      </c>
      <c r="D621">
        <v>0</v>
      </c>
      <c r="E621" s="1" t="s">
        <v>425</v>
      </c>
      <c r="F621">
        <f t="shared" si="27"/>
        <v>112</v>
      </c>
      <c r="G621">
        <f t="shared" si="28"/>
        <v>3</v>
      </c>
      <c r="H621" s="1">
        <f t="shared" si="29"/>
        <v>0.00390434782608696</v>
      </c>
    </row>
    <row r="622" spans="1:8">
      <c r="A622" t="s">
        <v>666</v>
      </c>
      <c r="B622" t="s">
        <v>9</v>
      </c>
      <c r="C622">
        <v>3.0878</v>
      </c>
      <c r="D622">
        <v>2</v>
      </c>
      <c r="E622" s="1" t="s">
        <v>8</v>
      </c>
      <c r="F622">
        <f t="shared" si="27"/>
        <v>315</v>
      </c>
      <c r="G622">
        <f t="shared" si="28"/>
        <v>34</v>
      </c>
      <c r="H622" s="1">
        <f t="shared" si="29"/>
        <v>0.00884756446991404</v>
      </c>
    </row>
    <row r="623" spans="1:8">
      <c r="A623" t="s">
        <v>667</v>
      </c>
      <c r="B623" t="s">
        <v>12</v>
      </c>
      <c r="C623">
        <v>0.459</v>
      </c>
      <c r="D623">
        <v>0</v>
      </c>
      <c r="E623" s="1" t="s">
        <v>277</v>
      </c>
      <c r="F623">
        <f t="shared" si="27"/>
        <v>138</v>
      </c>
      <c r="G623">
        <f t="shared" si="28"/>
        <v>17</v>
      </c>
      <c r="H623" s="1">
        <f t="shared" si="29"/>
        <v>0.00296129032258065</v>
      </c>
    </row>
    <row r="624" spans="1:8">
      <c r="A624" t="s">
        <v>668</v>
      </c>
      <c r="B624" t="s">
        <v>9</v>
      </c>
      <c r="C624">
        <v>1.5603</v>
      </c>
      <c r="D624">
        <v>1</v>
      </c>
      <c r="E624" s="1" t="s">
        <v>150</v>
      </c>
      <c r="F624">
        <f t="shared" si="27"/>
        <v>124</v>
      </c>
      <c r="G624">
        <f t="shared" si="28"/>
        <v>27</v>
      </c>
      <c r="H624" s="1">
        <f t="shared" si="29"/>
        <v>0.0103331125827815</v>
      </c>
    </row>
    <row r="625" spans="1:8">
      <c r="A625" t="s">
        <v>669</v>
      </c>
      <c r="B625" t="s">
        <v>12</v>
      </c>
      <c r="C625">
        <v>0.525</v>
      </c>
      <c r="D625">
        <v>1</v>
      </c>
      <c r="E625" s="1" t="s">
        <v>107</v>
      </c>
      <c r="F625">
        <f t="shared" si="27"/>
        <v>140</v>
      </c>
      <c r="G625">
        <f t="shared" si="28"/>
        <v>130</v>
      </c>
      <c r="H625" s="1">
        <f t="shared" si="29"/>
        <v>0.00194444444444444</v>
      </c>
    </row>
    <row r="626" spans="1:8">
      <c r="A626" t="s">
        <v>670</v>
      </c>
      <c r="B626" t="s">
        <v>12</v>
      </c>
      <c r="C626">
        <v>0.449</v>
      </c>
      <c r="D626">
        <v>0</v>
      </c>
      <c r="E626" s="1" t="s">
        <v>329</v>
      </c>
      <c r="F626">
        <v>0</v>
      </c>
      <c r="G626">
        <f t="shared" si="28"/>
        <v>2</v>
      </c>
      <c r="H626" s="1">
        <f t="shared" si="29"/>
        <v>0.2245</v>
      </c>
    </row>
    <row r="627" spans="1:8">
      <c r="A627" t="s">
        <v>671</v>
      </c>
      <c r="B627" t="s">
        <v>12</v>
      </c>
      <c r="C627">
        <v>0.1719</v>
      </c>
      <c r="D627">
        <v>0</v>
      </c>
      <c r="E627" s="1" t="s">
        <v>67</v>
      </c>
      <c r="F627">
        <f t="shared" si="27"/>
        <v>451</v>
      </c>
      <c r="G627">
        <f t="shared" si="28"/>
        <v>35</v>
      </c>
      <c r="H627" s="1">
        <f t="shared" si="29"/>
        <v>0.000353703703703704</v>
      </c>
    </row>
    <row r="628" spans="1:8">
      <c r="A628" t="s">
        <v>672</v>
      </c>
      <c r="B628" t="s">
        <v>12</v>
      </c>
      <c r="C628">
        <v>1.4762</v>
      </c>
      <c r="D628">
        <v>1</v>
      </c>
      <c r="E628" s="1" t="s">
        <v>225</v>
      </c>
      <c r="F628">
        <f t="shared" si="27"/>
        <v>266</v>
      </c>
      <c r="G628">
        <f t="shared" si="28"/>
        <v>102</v>
      </c>
      <c r="H628" s="1">
        <f t="shared" si="29"/>
        <v>0.00401141304347826</v>
      </c>
    </row>
    <row r="629" spans="1:8">
      <c r="A629" t="s">
        <v>673</v>
      </c>
      <c r="B629" t="s">
        <v>12</v>
      </c>
      <c r="C629">
        <v>0.0524</v>
      </c>
      <c r="D629">
        <v>5</v>
      </c>
      <c r="E629" s="1" t="s">
        <v>200</v>
      </c>
      <c r="F629">
        <f t="shared" si="27"/>
        <v>78</v>
      </c>
      <c r="G629">
        <f t="shared" si="28"/>
        <v>54</v>
      </c>
      <c r="H629" s="1">
        <f t="shared" si="29"/>
        <v>0.000396969696969697</v>
      </c>
    </row>
    <row r="630" spans="1:8">
      <c r="A630" t="s">
        <v>674</v>
      </c>
      <c r="B630" t="s">
        <v>9</v>
      </c>
      <c r="C630">
        <v>7.5576</v>
      </c>
      <c r="D630">
        <v>3</v>
      </c>
      <c r="E630" s="1" t="s">
        <v>293</v>
      </c>
      <c r="F630">
        <f t="shared" si="27"/>
        <v>150</v>
      </c>
      <c r="G630">
        <f t="shared" si="28"/>
        <v>26</v>
      </c>
      <c r="H630" s="1">
        <f t="shared" si="29"/>
        <v>0.0429409090909091</v>
      </c>
    </row>
    <row r="631" spans="1:8">
      <c r="A631" t="s">
        <v>675</v>
      </c>
      <c r="B631" t="s">
        <v>12</v>
      </c>
      <c r="C631">
        <v>2.4609</v>
      </c>
      <c r="D631">
        <v>5</v>
      </c>
      <c r="E631" s="1" t="s">
        <v>110</v>
      </c>
      <c r="F631">
        <f t="shared" si="27"/>
        <v>666</v>
      </c>
      <c r="G631">
        <f t="shared" si="28"/>
        <v>129</v>
      </c>
      <c r="H631" s="1">
        <f t="shared" si="29"/>
        <v>0.00309547169811321</v>
      </c>
    </row>
    <row r="632" spans="1:8">
      <c r="A632" t="s">
        <v>676</v>
      </c>
      <c r="B632" t="s">
        <v>12</v>
      </c>
      <c r="C632">
        <v>1.9787</v>
      </c>
      <c r="D632">
        <v>3</v>
      </c>
      <c r="E632" s="1" t="s">
        <v>344</v>
      </c>
      <c r="F632">
        <f t="shared" si="27"/>
        <v>335</v>
      </c>
      <c r="G632">
        <f t="shared" si="28"/>
        <v>84</v>
      </c>
      <c r="H632" s="1">
        <f t="shared" si="29"/>
        <v>0.00472243436754177</v>
      </c>
    </row>
    <row r="633" spans="1:8">
      <c r="A633" t="s">
        <v>677</v>
      </c>
      <c r="B633" t="s">
        <v>12</v>
      </c>
      <c r="C633">
        <v>1.0464</v>
      </c>
      <c r="D633">
        <v>0</v>
      </c>
      <c r="E633" s="1" t="s">
        <v>240</v>
      </c>
      <c r="F633">
        <f t="shared" si="27"/>
        <v>335</v>
      </c>
      <c r="G633">
        <f t="shared" si="28"/>
        <v>52</v>
      </c>
      <c r="H633" s="1">
        <f t="shared" si="29"/>
        <v>0.00270387596899225</v>
      </c>
    </row>
    <row r="634" spans="1:8">
      <c r="A634" t="s">
        <v>678</v>
      </c>
      <c r="B634" t="s">
        <v>12</v>
      </c>
      <c r="C634">
        <v>0.0825</v>
      </c>
      <c r="D634">
        <v>0</v>
      </c>
      <c r="E634" s="1" t="s">
        <v>20</v>
      </c>
      <c r="F634">
        <f t="shared" si="27"/>
        <v>332</v>
      </c>
      <c r="G634">
        <f t="shared" si="28"/>
        <v>216</v>
      </c>
      <c r="H634" s="1">
        <f t="shared" si="29"/>
        <v>0.000150547445255474</v>
      </c>
    </row>
    <row r="635" spans="1:8">
      <c r="A635" t="s">
        <v>679</v>
      </c>
      <c r="B635" t="s">
        <v>12</v>
      </c>
      <c r="C635">
        <v>0.402</v>
      </c>
      <c r="D635">
        <v>0</v>
      </c>
      <c r="E635" s="1" t="s">
        <v>121</v>
      </c>
      <c r="F635">
        <f t="shared" si="27"/>
        <v>174</v>
      </c>
      <c r="G635">
        <f t="shared" si="28"/>
        <v>111</v>
      </c>
      <c r="H635" s="1">
        <f t="shared" si="29"/>
        <v>0.00141052631578947</v>
      </c>
    </row>
    <row r="636" spans="1:8">
      <c r="A636" t="s">
        <v>680</v>
      </c>
      <c r="B636" t="s">
        <v>12</v>
      </c>
      <c r="C636">
        <v>0.7008</v>
      </c>
      <c r="D636">
        <v>0</v>
      </c>
      <c r="E636" s="1" t="s">
        <v>259</v>
      </c>
      <c r="F636">
        <f t="shared" si="27"/>
        <v>50</v>
      </c>
      <c r="G636">
        <f t="shared" si="28"/>
        <v>6</v>
      </c>
      <c r="H636" s="1">
        <f t="shared" si="29"/>
        <v>0.0125142857142857</v>
      </c>
    </row>
    <row r="637" spans="1:8">
      <c r="A637" t="s">
        <v>681</v>
      </c>
      <c r="B637" t="s">
        <v>12</v>
      </c>
      <c r="C637">
        <v>0.8775</v>
      </c>
      <c r="D637">
        <v>1</v>
      </c>
      <c r="E637" s="1" t="s">
        <v>482</v>
      </c>
      <c r="F637">
        <f t="shared" si="27"/>
        <v>1</v>
      </c>
      <c r="G637">
        <v>0</v>
      </c>
      <c r="H637" s="1">
        <f t="shared" si="29"/>
        <v>0.8775</v>
      </c>
    </row>
    <row r="638" spans="1:8">
      <c r="A638" t="s">
        <v>682</v>
      </c>
      <c r="B638" t="s">
        <v>12</v>
      </c>
      <c r="C638">
        <v>0.8599</v>
      </c>
      <c r="D638">
        <v>1</v>
      </c>
      <c r="E638" s="1" t="s">
        <v>105</v>
      </c>
      <c r="F638">
        <f t="shared" si="27"/>
        <v>400</v>
      </c>
      <c r="G638">
        <f t="shared" si="28"/>
        <v>44</v>
      </c>
      <c r="H638" s="1">
        <f t="shared" si="29"/>
        <v>0.00193671171171171</v>
      </c>
    </row>
    <row r="639" spans="1:8">
      <c r="A639" t="s">
        <v>683</v>
      </c>
      <c r="B639" t="s">
        <v>12</v>
      </c>
      <c r="C639">
        <v>1.087</v>
      </c>
      <c r="D639">
        <v>1</v>
      </c>
      <c r="E639" s="1" t="s">
        <v>133</v>
      </c>
      <c r="F639">
        <f t="shared" si="27"/>
        <v>244</v>
      </c>
      <c r="G639">
        <f t="shared" si="28"/>
        <v>62</v>
      </c>
      <c r="H639" s="1">
        <f t="shared" si="29"/>
        <v>0.00355228758169935</v>
      </c>
    </row>
    <row r="640" spans="1:8">
      <c r="A640" t="s">
        <v>684</v>
      </c>
      <c r="B640" t="s">
        <v>12</v>
      </c>
      <c r="C640">
        <v>1.8828</v>
      </c>
      <c r="D640">
        <v>3</v>
      </c>
      <c r="E640" s="1" t="s">
        <v>29</v>
      </c>
      <c r="F640">
        <f t="shared" si="27"/>
        <v>121</v>
      </c>
      <c r="G640">
        <f t="shared" si="28"/>
        <v>52</v>
      </c>
      <c r="H640" s="1">
        <f t="shared" si="29"/>
        <v>0.0108832369942197</v>
      </c>
    </row>
    <row r="641" spans="1:8">
      <c r="A641" t="s">
        <v>377</v>
      </c>
      <c r="B641" t="s">
        <v>12</v>
      </c>
      <c r="C641">
        <v>1.0905</v>
      </c>
      <c r="D641">
        <v>1</v>
      </c>
      <c r="E641" s="1" t="s">
        <v>243</v>
      </c>
      <c r="F641">
        <f t="shared" si="27"/>
        <v>174</v>
      </c>
      <c r="G641">
        <f t="shared" si="28"/>
        <v>26</v>
      </c>
      <c r="H641" s="1">
        <f t="shared" si="29"/>
        <v>0.0054525</v>
      </c>
    </row>
    <row r="642" spans="1:8">
      <c r="A642" t="s">
        <v>685</v>
      </c>
      <c r="B642" t="s">
        <v>12</v>
      </c>
      <c r="C642">
        <v>0.0812</v>
      </c>
      <c r="D642">
        <v>0</v>
      </c>
      <c r="E642" s="1" t="s">
        <v>137</v>
      </c>
      <c r="F642">
        <f t="shared" si="27"/>
        <v>143</v>
      </c>
      <c r="G642">
        <f t="shared" si="28"/>
        <v>183</v>
      </c>
      <c r="H642" s="1">
        <f t="shared" si="29"/>
        <v>0.000249079754601227</v>
      </c>
    </row>
    <row r="643" spans="1:8">
      <c r="A643" t="s">
        <v>686</v>
      </c>
      <c r="B643" t="s">
        <v>12</v>
      </c>
      <c r="C643">
        <v>1.1766</v>
      </c>
      <c r="D643">
        <v>3</v>
      </c>
      <c r="E643" s="1" t="s">
        <v>284</v>
      </c>
      <c r="F643">
        <f t="shared" ref="F643:F706" si="30">VLOOKUP(E643,A:D,4,0)</f>
        <v>389</v>
      </c>
      <c r="G643">
        <f t="shared" ref="G643:G706" si="31">VLOOKUP(E643,T:U,2,0)</f>
        <v>43</v>
      </c>
      <c r="H643" s="1">
        <f t="shared" ref="H643:H706" si="32">C643/(F643+G643)</f>
        <v>0.00272361111111111</v>
      </c>
    </row>
    <row r="644" spans="1:8">
      <c r="A644" t="s">
        <v>15</v>
      </c>
      <c r="B644" t="s">
        <v>12</v>
      </c>
      <c r="C644">
        <v>18.7763</v>
      </c>
      <c r="D644">
        <v>15</v>
      </c>
      <c r="E644" s="1" t="s">
        <v>15</v>
      </c>
      <c r="F644">
        <f t="shared" si="30"/>
        <v>15</v>
      </c>
      <c r="G644">
        <f t="shared" si="31"/>
        <v>30</v>
      </c>
      <c r="H644" s="1">
        <f t="shared" si="32"/>
        <v>0.417251111111111</v>
      </c>
    </row>
    <row r="645" spans="1:8">
      <c r="A645" t="s">
        <v>687</v>
      </c>
      <c r="B645" t="s">
        <v>12</v>
      </c>
      <c r="C645">
        <v>0.0931</v>
      </c>
      <c r="D645">
        <v>9</v>
      </c>
      <c r="E645" s="1" t="s">
        <v>289</v>
      </c>
      <c r="F645">
        <f t="shared" si="30"/>
        <v>478</v>
      </c>
      <c r="G645">
        <f t="shared" si="31"/>
        <v>184</v>
      </c>
      <c r="H645" s="1">
        <f t="shared" si="32"/>
        <v>0.000140634441087613</v>
      </c>
    </row>
    <row r="646" spans="1:8">
      <c r="A646" t="s">
        <v>688</v>
      </c>
      <c r="B646" t="s">
        <v>12</v>
      </c>
      <c r="C646">
        <v>0.926</v>
      </c>
      <c r="D646">
        <v>1</v>
      </c>
      <c r="E646" s="1" t="s">
        <v>297</v>
      </c>
      <c r="F646">
        <f t="shared" si="30"/>
        <v>657</v>
      </c>
      <c r="G646">
        <f t="shared" si="31"/>
        <v>237</v>
      </c>
      <c r="H646" s="1">
        <f t="shared" si="32"/>
        <v>0.00103579418344519</v>
      </c>
    </row>
    <row r="647" spans="1:8">
      <c r="A647" t="s">
        <v>689</v>
      </c>
      <c r="B647" t="s">
        <v>9</v>
      </c>
      <c r="C647">
        <v>1.709</v>
      </c>
      <c r="D647">
        <v>1</v>
      </c>
      <c r="E647" s="1" t="s">
        <v>64</v>
      </c>
      <c r="F647">
        <f t="shared" si="30"/>
        <v>329</v>
      </c>
      <c r="G647">
        <f t="shared" si="31"/>
        <v>29</v>
      </c>
      <c r="H647" s="1">
        <f t="shared" si="32"/>
        <v>0.00477374301675978</v>
      </c>
    </row>
    <row r="648" spans="1:8">
      <c r="A648" t="s">
        <v>690</v>
      </c>
      <c r="B648" t="s">
        <v>12</v>
      </c>
      <c r="C648">
        <v>2.7518</v>
      </c>
      <c r="D648">
        <v>1</v>
      </c>
      <c r="E648" s="1" t="s">
        <v>209</v>
      </c>
      <c r="F648">
        <v>0</v>
      </c>
      <c r="G648">
        <f t="shared" si="31"/>
        <v>85</v>
      </c>
      <c r="H648" s="1">
        <f t="shared" si="32"/>
        <v>0.0323741176470588</v>
      </c>
    </row>
    <row r="649" spans="1:8">
      <c r="A649" t="s">
        <v>691</v>
      </c>
      <c r="B649" t="s">
        <v>12</v>
      </c>
      <c r="C649">
        <v>1.748</v>
      </c>
      <c r="D649">
        <v>2</v>
      </c>
      <c r="E649" s="1" t="s">
        <v>156</v>
      </c>
      <c r="F649">
        <f t="shared" si="30"/>
        <v>212</v>
      </c>
      <c r="G649">
        <f t="shared" si="31"/>
        <v>48</v>
      </c>
      <c r="H649" s="1">
        <f t="shared" si="32"/>
        <v>0.00672307692307692</v>
      </c>
    </row>
    <row r="650" spans="1:8">
      <c r="A650" t="s">
        <v>692</v>
      </c>
      <c r="B650" t="s">
        <v>12</v>
      </c>
      <c r="C650">
        <v>1.4508</v>
      </c>
      <c r="D650">
        <v>5</v>
      </c>
      <c r="E650" s="1" t="s">
        <v>263</v>
      </c>
      <c r="F650">
        <f t="shared" si="30"/>
        <v>71</v>
      </c>
      <c r="G650">
        <f t="shared" si="31"/>
        <v>87</v>
      </c>
      <c r="H650" s="1">
        <f t="shared" si="32"/>
        <v>0.00918227848101266</v>
      </c>
    </row>
    <row r="651" spans="1:8">
      <c r="A651" t="s">
        <v>693</v>
      </c>
      <c r="B651" t="s">
        <v>12</v>
      </c>
      <c r="C651">
        <v>8.8637</v>
      </c>
      <c r="D651">
        <v>4</v>
      </c>
      <c r="E651" s="1" t="s">
        <v>119</v>
      </c>
      <c r="F651">
        <f t="shared" si="30"/>
        <v>305</v>
      </c>
      <c r="G651">
        <f t="shared" si="31"/>
        <v>123</v>
      </c>
      <c r="H651" s="1">
        <f t="shared" si="32"/>
        <v>0.0207095794392523</v>
      </c>
    </row>
    <row r="652" spans="1:8">
      <c r="A652" t="s">
        <v>694</v>
      </c>
      <c r="B652" t="s">
        <v>9</v>
      </c>
      <c r="C652">
        <v>4.8786</v>
      </c>
      <c r="D652">
        <v>1</v>
      </c>
      <c r="E652" s="1" t="s">
        <v>148</v>
      </c>
      <c r="F652">
        <f t="shared" si="30"/>
        <v>167</v>
      </c>
      <c r="G652">
        <f t="shared" si="31"/>
        <v>9</v>
      </c>
      <c r="H652" s="1">
        <f t="shared" si="32"/>
        <v>0.0277193181818182</v>
      </c>
    </row>
    <row r="653" spans="1:8">
      <c r="A653" t="s">
        <v>695</v>
      </c>
      <c r="B653" t="s">
        <v>12</v>
      </c>
      <c r="C653">
        <v>1.3329</v>
      </c>
      <c r="D653">
        <v>2</v>
      </c>
      <c r="E653" s="1" t="s">
        <v>285</v>
      </c>
      <c r="F653">
        <f t="shared" si="30"/>
        <v>345</v>
      </c>
      <c r="G653">
        <f t="shared" si="31"/>
        <v>90</v>
      </c>
      <c r="H653" s="1">
        <f t="shared" si="32"/>
        <v>0.00306413793103448</v>
      </c>
    </row>
    <row r="654" spans="1:8">
      <c r="A654" t="s">
        <v>696</v>
      </c>
      <c r="B654" t="s">
        <v>12</v>
      </c>
      <c r="C654">
        <v>1.7169</v>
      </c>
      <c r="D654">
        <v>1</v>
      </c>
      <c r="E654" s="1" t="s">
        <v>14</v>
      </c>
      <c r="F654">
        <f t="shared" si="30"/>
        <v>76</v>
      </c>
      <c r="G654">
        <f t="shared" si="31"/>
        <v>61</v>
      </c>
      <c r="H654" s="1">
        <f t="shared" si="32"/>
        <v>0.0125321167883212</v>
      </c>
    </row>
    <row r="655" spans="1:8">
      <c r="A655" t="s">
        <v>697</v>
      </c>
      <c r="B655" t="s">
        <v>9</v>
      </c>
      <c r="C655">
        <v>0.6432</v>
      </c>
      <c r="D655">
        <v>1</v>
      </c>
      <c r="E655" s="1" t="s">
        <v>122</v>
      </c>
      <c r="F655">
        <f t="shared" si="30"/>
        <v>114</v>
      </c>
      <c r="G655">
        <f t="shared" si="31"/>
        <v>20</v>
      </c>
      <c r="H655" s="1">
        <f t="shared" si="32"/>
        <v>0.0048</v>
      </c>
    </row>
    <row r="656" spans="1:8">
      <c r="A656" t="s">
        <v>698</v>
      </c>
      <c r="B656" t="s">
        <v>12</v>
      </c>
      <c r="C656">
        <v>0.6828</v>
      </c>
      <c r="D656">
        <v>1</v>
      </c>
      <c r="E656" s="1" t="s">
        <v>116</v>
      </c>
      <c r="F656">
        <f t="shared" si="30"/>
        <v>321</v>
      </c>
      <c r="G656">
        <f t="shared" si="31"/>
        <v>34</v>
      </c>
      <c r="H656" s="1">
        <f t="shared" si="32"/>
        <v>0.00192338028169014</v>
      </c>
    </row>
    <row r="657" spans="1:8">
      <c r="A657" t="s">
        <v>699</v>
      </c>
      <c r="B657" t="s">
        <v>9</v>
      </c>
      <c r="C657">
        <v>1.308</v>
      </c>
      <c r="D657">
        <v>1</v>
      </c>
      <c r="E657" s="1" t="s">
        <v>273</v>
      </c>
      <c r="F657">
        <f t="shared" si="30"/>
        <v>172</v>
      </c>
      <c r="G657">
        <f t="shared" si="31"/>
        <v>9</v>
      </c>
      <c r="H657" s="1">
        <f t="shared" si="32"/>
        <v>0.00722651933701658</v>
      </c>
    </row>
    <row r="658" spans="1:8">
      <c r="A658" t="s">
        <v>700</v>
      </c>
      <c r="B658" t="s">
        <v>12</v>
      </c>
      <c r="C658">
        <v>1.9294</v>
      </c>
      <c r="D658">
        <v>1</v>
      </c>
      <c r="E658" s="1" t="s">
        <v>14</v>
      </c>
      <c r="F658">
        <f t="shared" si="30"/>
        <v>76</v>
      </c>
      <c r="G658">
        <f t="shared" si="31"/>
        <v>61</v>
      </c>
      <c r="H658" s="1">
        <f t="shared" si="32"/>
        <v>0.0140832116788321</v>
      </c>
    </row>
    <row r="659" spans="1:8">
      <c r="A659" t="s">
        <v>701</v>
      </c>
      <c r="B659" t="s">
        <v>12</v>
      </c>
      <c r="C659">
        <v>0.4902</v>
      </c>
      <c r="D659">
        <v>1</v>
      </c>
      <c r="E659" s="1" t="s">
        <v>339</v>
      </c>
      <c r="F659">
        <f t="shared" si="30"/>
        <v>3</v>
      </c>
      <c r="G659">
        <v>0</v>
      </c>
      <c r="H659" s="1">
        <f t="shared" si="32"/>
        <v>0.1634</v>
      </c>
    </row>
    <row r="660" spans="1:8">
      <c r="A660" t="s">
        <v>702</v>
      </c>
      <c r="B660" t="s">
        <v>12</v>
      </c>
      <c r="C660">
        <v>0.105</v>
      </c>
      <c r="D660">
        <v>5</v>
      </c>
      <c r="E660" s="1" t="s">
        <v>258</v>
      </c>
      <c r="F660">
        <f t="shared" si="30"/>
        <v>25</v>
      </c>
      <c r="G660">
        <f t="shared" si="31"/>
        <v>21</v>
      </c>
      <c r="H660" s="1">
        <f t="shared" si="32"/>
        <v>0.00228260869565217</v>
      </c>
    </row>
    <row r="661" spans="1:8">
      <c r="A661" t="s">
        <v>703</v>
      </c>
      <c r="B661" t="s">
        <v>12</v>
      </c>
      <c r="C661">
        <v>1.1225</v>
      </c>
      <c r="D661">
        <v>4</v>
      </c>
      <c r="E661" s="1" t="s">
        <v>50</v>
      </c>
      <c r="F661">
        <f t="shared" si="30"/>
        <v>214</v>
      </c>
      <c r="G661">
        <f t="shared" si="31"/>
        <v>58</v>
      </c>
      <c r="H661" s="1">
        <f t="shared" si="32"/>
        <v>0.00412683823529412</v>
      </c>
    </row>
    <row r="662" spans="1:8">
      <c r="A662" t="s">
        <v>704</v>
      </c>
      <c r="B662" t="s">
        <v>9</v>
      </c>
      <c r="C662">
        <v>5.1638</v>
      </c>
      <c r="D662">
        <v>1</v>
      </c>
      <c r="E662" s="1" t="s">
        <v>273</v>
      </c>
      <c r="F662">
        <f t="shared" si="30"/>
        <v>172</v>
      </c>
      <c r="G662">
        <f t="shared" si="31"/>
        <v>9</v>
      </c>
      <c r="H662" s="1">
        <f t="shared" si="32"/>
        <v>0.0285292817679558</v>
      </c>
    </row>
    <row r="663" spans="1:8">
      <c r="A663" t="s">
        <v>705</v>
      </c>
      <c r="B663" t="s">
        <v>12</v>
      </c>
      <c r="C663">
        <v>2.3583</v>
      </c>
      <c r="D663">
        <v>2</v>
      </c>
      <c r="E663" s="1" t="s">
        <v>31</v>
      </c>
      <c r="F663">
        <f t="shared" si="30"/>
        <v>334</v>
      </c>
      <c r="G663">
        <f t="shared" si="31"/>
        <v>19</v>
      </c>
      <c r="H663" s="1">
        <f t="shared" si="32"/>
        <v>0.00668073654390935</v>
      </c>
    </row>
    <row r="664" spans="1:8">
      <c r="A664" t="s">
        <v>254</v>
      </c>
      <c r="B664" t="s">
        <v>12</v>
      </c>
      <c r="C664">
        <v>7.5971</v>
      </c>
      <c r="D664">
        <v>0</v>
      </c>
      <c r="E664" s="1" t="s">
        <v>254</v>
      </c>
      <c r="F664">
        <f t="shared" si="30"/>
        <v>0</v>
      </c>
      <c r="G664">
        <f t="shared" si="31"/>
        <v>33</v>
      </c>
      <c r="H664" s="1">
        <f t="shared" si="32"/>
        <v>0.230215151515152</v>
      </c>
    </row>
    <row r="665" spans="1:8">
      <c r="A665" t="s">
        <v>706</v>
      </c>
      <c r="B665" t="s">
        <v>12</v>
      </c>
      <c r="C665">
        <v>1.4751</v>
      </c>
      <c r="D665">
        <v>1</v>
      </c>
      <c r="E665" s="1" t="s">
        <v>14</v>
      </c>
      <c r="F665">
        <f t="shared" si="30"/>
        <v>76</v>
      </c>
      <c r="G665">
        <f t="shared" si="31"/>
        <v>61</v>
      </c>
      <c r="H665" s="1">
        <f t="shared" si="32"/>
        <v>0.0107671532846715</v>
      </c>
    </row>
    <row r="666" spans="1:8">
      <c r="A666" t="s">
        <v>707</v>
      </c>
      <c r="B666" t="s">
        <v>12</v>
      </c>
      <c r="C666">
        <v>0.2376</v>
      </c>
      <c r="D666">
        <v>0</v>
      </c>
      <c r="E666" s="1" t="s">
        <v>11</v>
      </c>
      <c r="F666">
        <f t="shared" si="30"/>
        <v>91</v>
      </c>
      <c r="G666">
        <f t="shared" si="31"/>
        <v>18</v>
      </c>
      <c r="H666" s="1">
        <f t="shared" si="32"/>
        <v>0.00217981651376147</v>
      </c>
    </row>
    <row r="667" spans="1:8">
      <c r="A667" t="s">
        <v>708</v>
      </c>
      <c r="B667" t="s">
        <v>12</v>
      </c>
      <c r="C667">
        <v>0.6996</v>
      </c>
      <c r="D667">
        <v>1</v>
      </c>
      <c r="E667" s="1" t="s">
        <v>290</v>
      </c>
      <c r="F667">
        <f t="shared" si="30"/>
        <v>259</v>
      </c>
      <c r="G667">
        <f t="shared" si="31"/>
        <v>102</v>
      </c>
      <c r="H667" s="1">
        <f t="shared" si="32"/>
        <v>0.00193795013850416</v>
      </c>
    </row>
    <row r="668" spans="1:8">
      <c r="A668" t="s">
        <v>709</v>
      </c>
      <c r="B668" t="s">
        <v>12</v>
      </c>
      <c r="C668">
        <v>0.0181</v>
      </c>
      <c r="D668">
        <v>1</v>
      </c>
      <c r="E668" s="1" t="s">
        <v>300</v>
      </c>
      <c r="F668">
        <f t="shared" si="30"/>
        <v>547</v>
      </c>
      <c r="G668">
        <f t="shared" si="31"/>
        <v>155</v>
      </c>
      <c r="H668" s="1">
        <f t="shared" si="32"/>
        <v>2.57834757834758e-5</v>
      </c>
    </row>
    <row r="669" spans="1:8">
      <c r="A669" t="s">
        <v>710</v>
      </c>
      <c r="B669" t="s">
        <v>9</v>
      </c>
      <c r="C669">
        <v>1.7164</v>
      </c>
      <c r="D669">
        <v>1</v>
      </c>
      <c r="E669" s="1" t="s">
        <v>293</v>
      </c>
      <c r="F669">
        <f t="shared" si="30"/>
        <v>150</v>
      </c>
      <c r="G669">
        <f t="shared" si="31"/>
        <v>26</v>
      </c>
      <c r="H669" s="1">
        <f t="shared" si="32"/>
        <v>0.00975227272727273</v>
      </c>
    </row>
    <row r="670" spans="1:8">
      <c r="A670" t="s">
        <v>711</v>
      </c>
      <c r="B670" t="s">
        <v>12</v>
      </c>
      <c r="C670">
        <v>0.126</v>
      </c>
      <c r="D670">
        <v>2</v>
      </c>
      <c r="E670" s="1" t="s">
        <v>315</v>
      </c>
      <c r="F670">
        <f t="shared" si="30"/>
        <v>77</v>
      </c>
      <c r="G670">
        <f t="shared" si="31"/>
        <v>11</v>
      </c>
      <c r="H670" s="1">
        <f t="shared" si="32"/>
        <v>0.00143181818181818</v>
      </c>
    </row>
    <row r="671" spans="1:8">
      <c r="A671" t="s">
        <v>712</v>
      </c>
      <c r="B671" t="s">
        <v>12</v>
      </c>
      <c r="C671">
        <v>1.4016</v>
      </c>
      <c r="D671">
        <v>1</v>
      </c>
      <c r="E671" s="1" t="s">
        <v>384</v>
      </c>
      <c r="F671">
        <f t="shared" si="30"/>
        <v>363</v>
      </c>
      <c r="G671">
        <f t="shared" si="31"/>
        <v>172</v>
      </c>
      <c r="H671" s="1">
        <f t="shared" si="32"/>
        <v>0.00261981308411215</v>
      </c>
    </row>
    <row r="672" spans="1:8">
      <c r="A672" t="s">
        <v>713</v>
      </c>
      <c r="B672" t="s">
        <v>12</v>
      </c>
      <c r="C672">
        <v>0.189</v>
      </c>
      <c r="D672">
        <v>3</v>
      </c>
      <c r="E672" s="1" t="s">
        <v>286</v>
      </c>
      <c r="F672">
        <f t="shared" si="30"/>
        <v>289</v>
      </c>
      <c r="G672">
        <f t="shared" si="31"/>
        <v>23</v>
      </c>
      <c r="H672" s="1">
        <f t="shared" si="32"/>
        <v>0.000605769230769231</v>
      </c>
    </row>
    <row r="673" spans="1:8">
      <c r="A673" t="s">
        <v>714</v>
      </c>
      <c r="B673" t="s">
        <v>12</v>
      </c>
      <c r="C673">
        <v>1.1414</v>
      </c>
      <c r="D673">
        <v>1</v>
      </c>
      <c r="E673" s="1" t="s">
        <v>268</v>
      </c>
      <c r="F673">
        <f t="shared" si="30"/>
        <v>521</v>
      </c>
      <c r="G673">
        <f t="shared" si="31"/>
        <v>81</v>
      </c>
      <c r="H673" s="1">
        <f t="shared" si="32"/>
        <v>0.00189601328903654</v>
      </c>
    </row>
    <row r="674" spans="1:8">
      <c r="A674" t="s">
        <v>715</v>
      </c>
      <c r="B674" t="s">
        <v>12</v>
      </c>
      <c r="C674">
        <v>0.189</v>
      </c>
      <c r="D674">
        <v>3</v>
      </c>
      <c r="E674" s="1" t="s">
        <v>317</v>
      </c>
      <c r="F674">
        <f t="shared" si="30"/>
        <v>180</v>
      </c>
      <c r="G674">
        <f t="shared" si="31"/>
        <v>35</v>
      </c>
      <c r="H674" s="1">
        <f t="shared" si="32"/>
        <v>0.000879069767441861</v>
      </c>
    </row>
    <row r="675" spans="1:8">
      <c r="A675" t="s">
        <v>716</v>
      </c>
      <c r="B675" t="s">
        <v>12</v>
      </c>
      <c r="C675">
        <v>0.7678</v>
      </c>
      <c r="D675">
        <v>0</v>
      </c>
      <c r="E675" s="1" t="s">
        <v>255</v>
      </c>
      <c r="F675">
        <f t="shared" si="30"/>
        <v>302</v>
      </c>
      <c r="G675">
        <f t="shared" si="31"/>
        <v>128</v>
      </c>
      <c r="H675" s="1">
        <f t="shared" si="32"/>
        <v>0.00178558139534884</v>
      </c>
    </row>
    <row r="676" spans="1:8">
      <c r="A676" t="s">
        <v>717</v>
      </c>
      <c r="B676" t="s">
        <v>12</v>
      </c>
      <c r="C676">
        <v>0.2201</v>
      </c>
      <c r="D676">
        <v>3</v>
      </c>
      <c r="E676" s="1" t="s">
        <v>262</v>
      </c>
      <c r="F676">
        <f t="shared" si="30"/>
        <v>95</v>
      </c>
      <c r="G676">
        <f t="shared" si="31"/>
        <v>78</v>
      </c>
      <c r="H676" s="1">
        <f t="shared" si="32"/>
        <v>0.00127225433526012</v>
      </c>
    </row>
    <row r="677" spans="1:8">
      <c r="A677" t="s">
        <v>718</v>
      </c>
      <c r="B677" t="s">
        <v>9</v>
      </c>
      <c r="C677">
        <v>0.5994</v>
      </c>
      <c r="D677">
        <v>0</v>
      </c>
      <c r="E677" s="1" t="s">
        <v>309</v>
      </c>
      <c r="F677">
        <f t="shared" si="30"/>
        <v>509</v>
      </c>
      <c r="G677">
        <f t="shared" si="31"/>
        <v>134</v>
      </c>
      <c r="H677" s="1">
        <f t="shared" si="32"/>
        <v>0.000932192846034215</v>
      </c>
    </row>
    <row r="678" spans="1:8">
      <c r="A678" t="s">
        <v>719</v>
      </c>
      <c r="B678" t="s">
        <v>12</v>
      </c>
      <c r="C678">
        <v>0.9048</v>
      </c>
      <c r="D678">
        <v>2</v>
      </c>
      <c r="E678" s="1" t="s">
        <v>301</v>
      </c>
      <c r="F678">
        <f t="shared" si="30"/>
        <v>107</v>
      </c>
      <c r="G678">
        <f t="shared" si="31"/>
        <v>12</v>
      </c>
      <c r="H678" s="1">
        <f t="shared" si="32"/>
        <v>0.00760336134453782</v>
      </c>
    </row>
    <row r="679" spans="1:8">
      <c r="A679" t="s">
        <v>720</v>
      </c>
      <c r="B679" t="s">
        <v>12</v>
      </c>
      <c r="C679">
        <v>0.126</v>
      </c>
      <c r="D679">
        <v>2</v>
      </c>
      <c r="E679" s="1" t="s">
        <v>319</v>
      </c>
      <c r="F679">
        <f t="shared" si="30"/>
        <v>183</v>
      </c>
      <c r="G679">
        <f t="shared" si="31"/>
        <v>21</v>
      </c>
      <c r="H679" s="1">
        <f t="shared" si="32"/>
        <v>0.000617647058823529</v>
      </c>
    </row>
    <row r="680" spans="1:8">
      <c r="A680" t="s">
        <v>721</v>
      </c>
      <c r="B680" t="s">
        <v>12</v>
      </c>
      <c r="C680">
        <v>0.7288</v>
      </c>
      <c r="D680">
        <v>1</v>
      </c>
      <c r="E680" s="1" t="s">
        <v>295</v>
      </c>
      <c r="F680">
        <f t="shared" si="30"/>
        <v>16</v>
      </c>
      <c r="G680">
        <f t="shared" si="31"/>
        <v>8</v>
      </c>
      <c r="H680" s="1">
        <f t="shared" si="32"/>
        <v>0.0303666666666667</v>
      </c>
    </row>
    <row r="681" spans="1:8">
      <c r="A681" t="s">
        <v>267</v>
      </c>
      <c r="B681" t="s">
        <v>12</v>
      </c>
      <c r="C681">
        <v>0.1399</v>
      </c>
      <c r="D681">
        <v>0</v>
      </c>
      <c r="E681" s="1" t="s">
        <v>267</v>
      </c>
      <c r="F681">
        <f t="shared" si="30"/>
        <v>0</v>
      </c>
      <c r="G681">
        <f t="shared" si="31"/>
        <v>2</v>
      </c>
      <c r="H681" s="1">
        <f t="shared" si="32"/>
        <v>0.06995</v>
      </c>
    </row>
    <row r="682" spans="1:8">
      <c r="A682" t="s">
        <v>722</v>
      </c>
      <c r="B682" t="s">
        <v>12</v>
      </c>
      <c r="C682">
        <v>1.4908</v>
      </c>
      <c r="D682">
        <v>2</v>
      </c>
      <c r="E682" s="1" t="s">
        <v>340</v>
      </c>
      <c r="F682">
        <f t="shared" si="30"/>
        <v>656</v>
      </c>
      <c r="G682">
        <f t="shared" si="31"/>
        <v>188</v>
      </c>
      <c r="H682" s="1">
        <f t="shared" si="32"/>
        <v>0.00176635071090047</v>
      </c>
    </row>
    <row r="683" spans="1:8">
      <c r="A683" t="s">
        <v>723</v>
      </c>
      <c r="B683" t="s">
        <v>12</v>
      </c>
      <c r="C683">
        <v>0.8678</v>
      </c>
      <c r="D683">
        <v>1</v>
      </c>
      <c r="E683" s="1" t="s">
        <v>44</v>
      </c>
      <c r="F683">
        <f t="shared" si="30"/>
        <v>98</v>
      </c>
      <c r="G683">
        <f t="shared" si="31"/>
        <v>11</v>
      </c>
      <c r="H683" s="1">
        <f t="shared" si="32"/>
        <v>0.00796146788990826</v>
      </c>
    </row>
    <row r="684" spans="1:8">
      <c r="A684" t="s">
        <v>724</v>
      </c>
      <c r="B684" t="s">
        <v>12</v>
      </c>
      <c r="C684">
        <v>2.8148</v>
      </c>
      <c r="D684">
        <v>2</v>
      </c>
      <c r="E684" s="1" t="s">
        <v>286</v>
      </c>
      <c r="F684">
        <f t="shared" si="30"/>
        <v>289</v>
      </c>
      <c r="G684">
        <f t="shared" si="31"/>
        <v>23</v>
      </c>
      <c r="H684" s="1">
        <f t="shared" si="32"/>
        <v>0.00902179487179487</v>
      </c>
    </row>
    <row r="685" spans="1:8">
      <c r="A685" t="s">
        <v>725</v>
      </c>
      <c r="B685" t="s">
        <v>12</v>
      </c>
      <c r="C685">
        <v>0.147</v>
      </c>
      <c r="D685">
        <v>1</v>
      </c>
      <c r="E685" s="1" t="s">
        <v>302</v>
      </c>
      <c r="F685">
        <f t="shared" si="30"/>
        <v>515</v>
      </c>
      <c r="G685">
        <f t="shared" si="31"/>
        <v>55</v>
      </c>
      <c r="H685" s="1">
        <f t="shared" si="32"/>
        <v>0.000257894736842105</v>
      </c>
    </row>
    <row r="686" spans="1:8">
      <c r="A686" t="s">
        <v>726</v>
      </c>
      <c r="B686" t="s">
        <v>12</v>
      </c>
      <c r="C686">
        <v>0.269</v>
      </c>
      <c r="D686">
        <v>0</v>
      </c>
      <c r="E686" s="1" t="s">
        <v>123</v>
      </c>
      <c r="F686">
        <f t="shared" si="30"/>
        <v>316</v>
      </c>
      <c r="G686">
        <f t="shared" si="31"/>
        <v>109</v>
      </c>
      <c r="H686" s="1">
        <f t="shared" si="32"/>
        <v>0.000632941176470588</v>
      </c>
    </row>
    <row r="687" spans="1:8">
      <c r="A687" t="s">
        <v>727</v>
      </c>
      <c r="B687" t="s">
        <v>9</v>
      </c>
      <c r="C687">
        <v>1.1879</v>
      </c>
      <c r="D687">
        <v>2</v>
      </c>
      <c r="E687" s="1" t="s">
        <v>38</v>
      </c>
      <c r="F687">
        <f t="shared" si="30"/>
        <v>193</v>
      </c>
      <c r="G687">
        <f t="shared" si="31"/>
        <v>13</v>
      </c>
      <c r="H687" s="1">
        <f t="shared" si="32"/>
        <v>0.00576650485436893</v>
      </c>
    </row>
    <row r="688" spans="1:8">
      <c r="A688" t="s">
        <v>728</v>
      </c>
      <c r="B688" t="s">
        <v>12</v>
      </c>
      <c r="C688">
        <v>1.707</v>
      </c>
      <c r="D688">
        <v>2</v>
      </c>
      <c r="E688" s="1" t="s">
        <v>57</v>
      </c>
      <c r="F688">
        <f t="shared" si="30"/>
        <v>211</v>
      </c>
      <c r="G688">
        <f t="shared" si="31"/>
        <v>55</v>
      </c>
      <c r="H688" s="1">
        <f t="shared" si="32"/>
        <v>0.00641729323308271</v>
      </c>
    </row>
    <row r="689" spans="1:8">
      <c r="A689" t="s">
        <v>729</v>
      </c>
      <c r="B689" t="s">
        <v>12</v>
      </c>
      <c r="C689">
        <v>1.7415</v>
      </c>
      <c r="D689">
        <v>0</v>
      </c>
      <c r="E689" s="1" t="s">
        <v>99</v>
      </c>
      <c r="F689">
        <f t="shared" si="30"/>
        <v>244</v>
      </c>
      <c r="G689">
        <f t="shared" si="31"/>
        <v>22</v>
      </c>
      <c r="H689" s="1">
        <f t="shared" si="32"/>
        <v>0.00654699248120301</v>
      </c>
    </row>
    <row r="690" spans="1:8">
      <c r="A690" t="s">
        <v>409</v>
      </c>
      <c r="B690" t="s">
        <v>12</v>
      </c>
      <c r="C690">
        <v>0.3472</v>
      </c>
      <c r="D690">
        <v>0</v>
      </c>
      <c r="E690" s="1" t="s">
        <v>407</v>
      </c>
      <c r="F690">
        <f t="shared" si="30"/>
        <v>56</v>
      </c>
      <c r="G690">
        <f t="shared" si="31"/>
        <v>16</v>
      </c>
      <c r="H690" s="1">
        <f t="shared" si="32"/>
        <v>0.00482222222222222</v>
      </c>
    </row>
    <row r="691" spans="1:8">
      <c r="A691" t="s">
        <v>730</v>
      </c>
      <c r="B691" t="s">
        <v>12</v>
      </c>
      <c r="C691">
        <v>1.561</v>
      </c>
      <c r="D691">
        <v>2</v>
      </c>
      <c r="E691" s="1" t="s">
        <v>416</v>
      </c>
      <c r="F691">
        <f t="shared" si="30"/>
        <v>245</v>
      </c>
      <c r="G691">
        <f t="shared" si="31"/>
        <v>77</v>
      </c>
      <c r="H691" s="1">
        <f t="shared" si="32"/>
        <v>0.00484782608695652</v>
      </c>
    </row>
    <row r="692" spans="1:8">
      <c r="A692" t="s">
        <v>731</v>
      </c>
      <c r="B692" t="s">
        <v>12</v>
      </c>
      <c r="C692">
        <v>0.4536</v>
      </c>
      <c r="D692">
        <v>3</v>
      </c>
      <c r="E692" s="1" t="s">
        <v>115</v>
      </c>
      <c r="F692">
        <f t="shared" si="30"/>
        <v>201</v>
      </c>
      <c r="G692">
        <f t="shared" si="31"/>
        <v>84</v>
      </c>
      <c r="H692" s="1">
        <f t="shared" si="32"/>
        <v>0.00159157894736842</v>
      </c>
    </row>
    <row r="693" spans="1:8">
      <c r="A693" t="s">
        <v>732</v>
      </c>
      <c r="B693" t="s">
        <v>12</v>
      </c>
      <c r="C693">
        <v>1.9106</v>
      </c>
      <c r="D693">
        <v>2</v>
      </c>
      <c r="E693" s="1" t="s">
        <v>315</v>
      </c>
      <c r="F693">
        <f t="shared" si="30"/>
        <v>77</v>
      </c>
      <c r="G693">
        <f t="shared" si="31"/>
        <v>11</v>
      </c>
      <c r="H693" s="1">
        <f t="shared" si="32"/>
        <v>0.0217113636363636</v>
      </c>
    </row>
    <row r="694" spans="1:8">
      <c r="A694" t="s">
        <v>733</v>
      </c>
      <c r="B694" t="s">
        <v>12</v>
      </c>
      <c r="C694">
        <v>0.9394</v>
      </c>
      <c r="D694">
        <v>1</v>
      </c>
      <c r="E694" s="1" t="s">
        <v>733</v>
      </c>
      <c r="F694">
        <f t="shared" si="30"/>
        <v>1</v>
      </c>
      <c r="G694">
        <v>0</v>
      </c>
      <c r="H694" s="1">
        <f t="shared" si="32"/>
        <v>0.9394</v>
      </c>
    </row>
    <row r="695" spans="1:8">
      <c r="A695" t="s">
        <v>734</v>
      </c>
      <c r="B695" t="s">
        <v>12</v>
      </c>
      <c r="C695">
        <v>1.4847</v>
      </c>
      <c r="D695">
        <v>1</v>
      </c>
      <c r="E695" s="1" t="s">
        <v>223</v>
      </c>
      <c r="F695">
        <f t="shared" si="30"/>
        <v>69</v>
      </c>
      <c r="G695">
        <f t="shared" si="31"/>
        <v>73</v>
      </c>
      <c r="H695" s="1">
        <f t="shared" si="32"/>
        <v>0.0104556338028169</v>
      </c>
    </row>
    <row r="696" spans="1:8">
      <c r="A696" t="s">
        <v>735</v>
      </c>
      <c r="B696" t="s">
        <v>12</v>
      </c>
      <c r="C696">
        <v>2.709</v>
      </c>
      <c r="D696">
        <v>2</v>
      </c>
      <c r="E696" s="1" t="s">
        <v>214</v>
      </c>
      <c r="F696">
        <f t="shared" si="30"/>
        <v>212</v>
      </c>
      <c r="G696">
        <f t="shared" si="31"/>
        <v>42</v>
      </c>
      <c r="H696" s="1">
        <f t="shared" si="32"/>
        <v>0.0106653543307087</v>
      </c>
    </row>
    <row r="697" spans="1:8">
      <c r="A697" t="s">
        <v>736</v>
      </c>
      <c r="B697" t="s">
        <v>12</v>
      </c>
      <c r="C697">
        <v>1.19</v>
      </c>
      <c r="D697">
        <v>1</v>
      </c>
      <c r="E697" s="1" t="s">
        <v>103</v>
      </c>
      <c r="F697">
        <f t="shared" si="30"/>
        <v>453</v>
      </c>
      <c r="G697">
        <f t="shared" si="31"/>
        <v>114</v>
      </c>
      <c r="H697" s="1">
        <f t="shared" si="32"/>
        <v>0.00209876543209877</v>
      </c>
    </row>
    <row r="698" spans="1:8">
      <c r="A698" t="s">
        <v>232</v>
      </c>
      <c r="B698" t="s">
        <v>12</v>
      </c>
      <c r="C698">
        <v>12.4092</v>
      </c>
      <c r="D698">
        <v>0</v>
      </c>
      <c r="E698" s="1" t="s">
        <v>232</v>
      </c>
      <c r="F698">
        <f t="shared" si="30"/>
        <v>0</v>
      </c>
      <c r="G698">
        <f t="shared" si="31"/>
        <v>72</v>
      </c>
      <c r="H698" s="1">
        <f t="shared" si="32"/>
        <v>0.17235</v>
      </c>
    </row>
    <row r="699" spans="1:8">
      <c r="A699" t="s">
        <v>737</v>
      </c>
      <c r="B699" t="s">
        <v>12</v>
      </c>
      <c r="C699">
        <v>0.0975</v>
      </c>
      <c r="D699">
        <v>1</v>
      </c>
      <c r="E699" s="1" t="s">
        <v>226</v>
      </c>
      <c r="F699">
        <f t="shared" si="30"/>
        <v>428</v>
      </c>
      <c r="G699">
        <f t="shared" si="31"/>
        <v>311</v>
      </c>
      <c r="H699" s="1">
        <f t="shared" si="32"/>
        <v>0.000131935047361299</v>
      </c>
    </row>
    <row r="700" spans="1:8">
      <c r="A700" t="s">
        <v>738</v>
      </c>
      <c r="B700" t="s">
        <v>12</v>
      </c>
      <c r="C700">
        <v>0.0964</v>
      </c>
      <c r="D700">
        <v>0</v>
      </c>
      <c r="E700" s="1" t="s">
        <v>280</v>
      </c>
      <c r="F700">
        <f t="shared" si="30"/>
        <v>572</v>
      </c>
      <c r="G700">
        <f t="shared" si="31"/>
        <v>64</v>
      </c>
      <c r="H700" s="1">
        <f t="shared" si="32"/>
        <v>0.000151572327044025</v>
      </c>
    </row>
    <row r="701" spans="1:8">
      <c r="A701" t="s">
        <v>739</v>
      </c>
      <c r="B701" t="s">
        <v>12</v>
      </c>
      <c r="C701">
        <v>0.2332</v>
      </c>
      <c r="D701">
        <v>1</v>
      </c>
      <c r="E701" s="1" t="s">
        <v>411</v>
      </c>
      <c r="F701">
        <f t="shared" si="30"/>
        <v>0</v>
      </c>
      <c r="G701">
        <f t="shared" si="31"/>
        <v>29</v>
      </c>
      <c r="H701" s="1">
        <f t="shared" si="32"/>
        <v>0.00804137931034483</v>
      </c>
    </row>
    <row r="702" spans="1:8">
      <c r="A702" t="s">
        <v>740</v>
      </c>
      <c r="B702" t="s">
        <v>12</v>
      </c>
      <c r="C702">
        <v>0.205</v>
      </c>
      <c r="D702">
        <v>1</v>
      </c>
      <c r="E702" s="1" t="s">
        <v>124</v>
      </c>
      <c r="F702">
        <f t="shared" si="30"/>
        <v>734</v>
      </c>
      <c r="G702">
        <f t="shared" si="31"/>
        <v>47</v>
      </c>
      <c r="H702" s="1">
        <f t="shared" si="32"/>
        <v>0.000262483994878361</v>
      </c>
    </row>
    <row r="703" spans="1:8">
      <c r="A703" t="s">
        <v>741</v>
      </c>
      <c r="B703" t="s">
        <v>12</v>
      </c>
      <c r="C703">
        <v>0.3325</v>
      </c>
      <c r="D703">
        <v>1</v>
      </c>
      <c r="E703" s="1" t="s">
        <v>59</v>
      </c>
      <c r="F703">
        <f t="shared" si="30"/>
        <v>203</v>
      </c>
      <c r="G703">
        <f t="shared" si="31"/>
        <v>74</v>
      </c>
      <c r="H703" s="1">
        <f t="shared" si="32"/>
        <v>0.00120036101083032</v>
      </c>
    </row>
    <row r="704" spans="1:8">
      <c r="A704" t="s">
        <v>742</v>
      </c>
      <c r="B704" t="s">
        <v>12</v>
      </c>
      <c r="C704">
        <v>0.415</v>
      </c>
      <c r="D704">
        <v>4</v>
      </c>
      <c r="E704" s="1" t="s">
        <v>94</v>
      </c>
      <c r="F704">
        <f t="shared" si="30"/>
        <v>166</v>
      </c>
      <c r="G704">
        <f t="shared" si="31"/>
        <v>77</v>
      </c>
      <c r="H704" s="1">
        <f t="shared" si="32"/>
        <v>0.00170781893004115</v>
      </c>
    </row>
    <row r="705" spans="1:8">
      <c r="A705" t="s">
        <v>743</v>
      </c>
      <c r="B705" t="s">
        <v>12</v>
      </c>
      <c r="C705">
        <v>0.1218</v>
      </c>
      <c r="D705">
        <v>1</v>
      </c>
      <c r="E705" s="1" t="s">
        <v>144</v>
      </c>
      <c r="F705">
        <f t="shared" si="30"/>
        <v>365</v>
      </c>
      <c r="G705">
        <f t="shared" si="31"/>
        <v>53</v>
      </c>
      <c r="H705" s="1">
        <f t="shared" si="32"/>
        <v>0.000291387559808612</v>
      </c>
    </row>
    <row r="706" spans="1:8">
      <c r="A706" t="s">
        <v>744</v>
      </c>
      <c r="B706" t="s">
        <v>12</v>
      </c>
      <c r="C706">
        <v>0.3268</v>
      </c>
      <c r="D706">
        <v>4</v>
      </c>
      <c r="E706" s="1" t="s">
        <v>91</v>
      </c>
      <c r="F706">
        <f t="shared" si="30"/>
        <v>197</v>
      </c>
      <c r="G706">
        <f t="shared" si="31"/>
        <v>174</v>
      </c>
      <c r="H706" s="1">
        <f t="shared" si="32"/>
        <v>0.000880862533692722</v>
      </c>
    </row>
    <row r="707" spans="1:8">
      <c r="A707" t="s">
        <v>745</v>
      </c>
      <c r="B707" t="s">
        <v>12</v>
      </c>
      <c r="C707">
        <v>0.152</v>
      </c>
      <c r="D707">
        <v>2</v>
      </c>
      <c r="E707" s="1" t="s">
        <v>89</v>
      </c>
      <c r="F707">
        <f>VLOOKUP(E707,A:D,4,0)</f>
        <v>542</v>
      </c>
      <c r="G707">
        <f>VLOOKUP(E707,T:U,2,0)</f>
        <v>81</v>
      </c>
      <c r="H707" s="1">
        <f>C707/(F707+G707)</f>
        <v>0.000243980738362761</v>
      </c>
    </row>
    <row r="708" spans="1:8">
      <c r="A708" t="s">
        <v>746</v>
      </c>
      <c r="B708" t="s">
        <v>12</v>
      </c>
      <c r="C708">
        <v>0.073</v>
      </c>
      <c r="D708">
        <v>1</v>
      </c>
      <c r="E708" s="1" t="s">
        <v>191</v>
      </c>
      <c r="F708">
        <f>VLOOKUP(E708,A:D,4,0)</f>
        <v>375</v>
      </c>
      <c r="G708">
        <f>VLOOKUP(E708,T:U,2,0)</f>
        <v>323</v>
      </c>
      <c r="H708" s="1">
        <f>C708/(F708+G708)</f>
        <v>0.00010458452722063</v>
      </c>
    </row>
    <row r="709" spans="1:8">
      <c r="A709" t="s">
        <v>747</v>
      </c>
      <c r="B709" t="s">
        <v>9</v>
      </c>
      <c r="C709">
        <v>0.3305</v>
      </c>
      <c r="D709">
        <v>1</v>
      </c>
      <c r="E709" s="1" t="s">
        <v>77</v>
      </c>
      <c r="F709">
        <f>VLOOKUP(E709,A:D,4,0)</f>
        <v>99</v>
      </c>
      <c r="G709">
        <f>VLOOKUP(E709,T:U,2,0)</f>
        <v>19</v>
      </c>
      <c r="H709" s="1">
        <f>C709/(F709+G709)</f>
        <v>0.00280084745762712</v>
      </c>
    </row>
    <row r="710" spans="1:8">
      <c r="A710" t="s">
        <v>748</v>
      </c>
      <c r="B710" t="s">
        <v>12</v>
      </c>
      <c r="C710">
        <v>0.188</v>
      </c>
      <c r="D710">
        <v>1</v>
      </c>
      <c r="E710" s="1" t="s">
        <v>357</v>
      </c>
      <c r="F710">
        <f>VLOOKUP(E710,A:D,4,0)</f>
        <v>580</v>
      </c>
      <c r="G710">
        <f>VLOOKUP(E710,T:U,2,0)</f>
        <v>139</v>
      </c>
      <c r="H710" s="1">
        <f>C710/(F710+G710)</f>
        <v>0.000261474269819193</v>
      </c>
    </row>
    <row r="711" spans="1:8">
      <c r="A711" t="s">
        <v>749</v>
      </c>
      <c r="B711" t="s">
        <v>12</v>
      </c>
      <c r="C711">
        <v>0.1855</v>
      </c>
      <c r="D711">
        <v>1</v>
      </c>
      <c r="E711" s="1" t="s">
        <v>239</v>
      </c>
      <c r="F711">
        <f>VLOOKUP(E711,A:D,4,0)</f>
        <v>208</v>
      </c>
      <c r="G711">
        <f>VLOOKUP(E711,T:U,2,0)</f>
        <v>64</v>
      </c>
      <c r="H711" s="1">
        <f>C711/(F711+G711)</f>
        <v>0.000681985294117647</v>
      </c>
    </row>
    <row r="712" spans="1:8">
      <c r="A712" t="s">
        <v>750</v>
      </c>
      <c r="B712" t="s">
        <v>9</v>
      </c>
      <c r="C712">
        <v>0.166</v>
      </c>
      <c r="D712">
        <v>1</v>
      </c>
      <c r="E712" s="1" t="s">
        <v>122</v>
      </c>
      <c r="F712">
        <f>VLOOKUP(E712,A:D,4,0)</f>
        <v>114</v>
      </c>
      <c r="G712">
        <f>VLOOKUP(E712,T:U,2,0)</f>
        <v>20</v>
      </c>
      <c r="H712" s="1">
        <f>C712/(F712+G712)</f>
        <v>0.00123880597014925</v>
      </c>
    </row>
    <row r="713" spans="1:8">
      <c r="A713" t="s">
        <v>751</v>
      </c>
      <c r="B713" t="s">
        <v>9</v>
      </c>
      <c r="C713">
        <v>0.3625</v>
      </c>
      <c r="D713">
        <v>1</v>
      </c>
      <c r="E713" s="1" t="s">
        <v>160</v>
      </c>
      <c r="F713">
        <f>VLOOKUP(E713,A:D,4,0)</f>
        <v>87</v>
      </c>
      <c r="G713">
        <f>VLOOKUP(E713,T:U,2,0)</f>
        <v>24</v>
      </c>
      <c r="H713" s="1">
        <f>C713/(F713+G713)</f>
        <v>0.00326576576576577</v>
      </c>
    </row>
    <row r="714" spans="1:8">
      <c r="A714" t="s">
        <v>752</v>
      </c>
      <c r="B714" t="s">
        <v>12</v>
      </c>
      <c r="C714">
        <v>0.1644</v>
      </c>
      <c r="D714">
        <v>1</v>
      </c>
      <c r="E714" s="1" t="s">
        <v>314</v>
      </c>
      <c r="F714">
        <f>VLOOKUP(E714,A:D,4,0)</f>
        <v>271</v>
      </c>
      <c r="G714">
        <f>VLOOKUP(E714,T:U,2,0)</f>
        <v>53</v>
      </c>
      <c r="H714" s="1">
        <f>C714/(F714+G714)</f>
        <v>0.000507407407407407</v>
      </c>
    </row>
    <row r="715" spans="1:8">
      <c r="A715" t="s">
        <v>753</v>
      </c>
      <c r="B715" t="s">
        <v>12</v>
      </c>
      <c r="C715">
        <v>0.0205</v>
      </c>
      <c r="D715">
        <v>1</v>
      </c>
      <c r="E715" s="1" t="s">
        <v>142</v>
      </c>
      <c r="F715">
        <f>VLOOKUP(E715,A:D,4,0)</f>
        <v>0</v>
      </c>
      <c r="G715">
        <f>VLOOKUP(E715,T:U,2,0)</f>
        <v>67</v>
      </c>
      <c r="H715" s="1">
        <f>C715/(F715+G715)</f>
        <v>0.000305970149253731</v>
      </c>
    </row>
    <row r="716" spans="1:8">
      <c r="A716" t="s">
        <v>754</v>
      </c>
      <c r="B716" t="s">
        <v>12</v>
      </c>
      <c r="C716">
        <v>0.0344</v>
      </c>
      <c r="D716">
        <v>2</v>
      </c>
      <c r="E716" s="1" t="s">
        <v>75</v>
      </c>
      <c r="F716">
        <f>VLOOKUP(E716,A:D,4,0)</f>
        <v>102</v>
      </c>
      <c r="G716">
        <f>VLOOKUP(E716,T:U,2,0)</f>
        <v>241</v>
      </c>
      <c r="H716" s="1">
        <f>C716/(F716+G716)</f>
        <v>0.000100291545189504</v>
      </c>
    </row>
    <row r="717" spans="1:8">
      <c r="A717" t="s">
        <v>755</v>
      </c>
      <c r="B717" t="s">
        <v>12</v>
      </c>
      <c r="C717">
        <v>0.0394</v>
      </c>
      <c r="D717">
        <v>2</v>
      </c>
      <c r="E717" s="1" t="s">
        <v>229</v>
      </c>
      <c r="F717">
        <f>VLOOKUP(E717,A:D,4,0)</f>
        <v>128</v>
      </c>
      <c r="G717">
        <f>VLOOKUP(E717,T:U,2,0)</f>
        <v>143</v>
      </c>
      <c r="H717" s="1">
        <f>C717/(F717+G717)</f>
        <v>0.000145387453874539</v>
      </c>
    </row>
    <row r="718" spans="1:8">
      <c r="A718" t="s">
        <v>756</v>
      </c>
      <c r="B718" t="s">
        <v>12</v>
      </c>
      <c r="C718">
        <v>0.0166</v>
      </c>
      <c r="D718">
        <v>1</v>
      </c>
      <c r="E718" s="1" t="s">
        <v>96</v>
      </c>
      <c r="F718">
        <f>VLOOKUP(E718,A:D,4,0)</f>
        <v>70</v>
      </c>
      <c r="G718">
        <f>VLOOKUP(E718,T:U,2,0)</f>
        <v>66</v>
      </c>
      <c r="H718" s="1">
        <f>C718/(F718+G718)</f>
        <v>0.000122058823529412</v>
      </c>
    </row>
    <row r="719" spans="1:8">
      <c r="A719" t="s">
        <v>757</v>
      </c>
      <c r="B719" t="s">
        <v>12</v>
      </c>
      <c r="C719">
        <v>0.0166</v>
      </c>
      <c r="D719">
        <v>1</v>
      </c>
      <c r="E719" s="1" t="s">
        <v>100</v>
      </c>
      <c r="F719">
        <f>VLOOKUP(E719,A:D,4,0)</f>
        <v>125</v>
      </c>
      <c r="G719">
        <f>VLOOKUP(E719,T:U,2,0)</f>
        <v>132</v>
      </c>
      <c r="H719" s="1">
        <f>C719/(F719+G719)</f>
        <v>6.4591439688716e-5</v>
      </c>
    </row>
    <row r="720" spans="1:8">
      <c r="A720" t="s">
        <v>758</v>
      </c>
      <c r="B720" t="s">
        <v>12</v>
      </c>
      <c r="C720">
        <v>0.043</v>
      </c>
      <c r="D720">
        <v>2</v>
      </c>
      <c r="E720" s="1" t="s">
        <v>22</v>
      </c>
      <c r="F720">
        <f>VLOOKUP(E720,A:D,4,0)</f>
        <v>182</v>
      </c>
      <c r="G720">
        <f>VLOOKUP(E720,T:U,2,0)</f>
        <v>105</v>
      </c>
      <c r="H720" s="1">
        <f>C720/(F720+G720)</f>
        <v>0.000149825783972125</v>
      </c>
    </row>
    <row r="721" spans="1:8">
      <c r="A721" t="s">
        <v>759</v>
      </c>
      <c r="B721" t="s">
        <v>12</v>
      </c>
      <c r="C721">
        <v>0.1116</v>
      </c>
      <c r="D721">
        <v>4</v>
      </c>
      <c r="E721" s="1" t="s">
        <v>10</v>
      </c>
      <c r="F721">
        <f>VLOOKUP(E721,A:D,4,0)</f>
        <v>104</v>
      </c>
      <c r="G721">
        <f>VLOOKUP(E721,T:U,2,0)</f>
        <v>89</v>
      </c>
      <c r="H721" s="1">
        <f>C721/(F721+G721)</f>
        <v>0.000578238341968912</v>
      </c>
    </row>
  </sheetData>
  <autoFilter xmlns:etc="http://www.wps.cn/officeDocument/2017/etCustomData" ref="A1:U7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Nigger。</cp:lastModifiedBy>
  <dcterms:created xsi:type="dcterms:W3CDTF">2024-10-29T05:32:53Z</dcterms:created>
  <dcterms:modified xsi:type="dcterms:W3CDTF">2024-10-29T05:36:24Z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E3A254E5EA684CEE8B8BB25CB89A970D_11</vt:lpwstr>
  </property>
  <property fmtid="{D5CDD505-2E9C-101B-9397-08002B2CF9AE}" pid="3" name="KSOProductBuildVer">
    <vt:lpwstr>2052-12.1.0.18608</vt:lpwstr>
  </property>
</Properties>
</file>